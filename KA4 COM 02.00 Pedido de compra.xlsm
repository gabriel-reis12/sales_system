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estagiario02\Desktop\"/>
    </mc:Choice>
  </mc:AlternateContent>
  <xr:revisionPtr revIDLastSave="0" documentId="13_ncr:1_{165AFFDE-B654-40D2-96A2-7AD51B9C0DF1}" xr6:coauthVersionLast="47" xr6:coauthVersionMax="47" xr10:uidLastSave="{00000000-0000-0000-0000-000000000000}"/>
  <bookViews>
    <workbookView xWindow="20370" yWindow="-120" windowWidth="29040" windowHeight="15840" xr2:uid="{00000000-000D-0000-FFFF-FFFF00000000}"/>
  </bookViews>
  <sheets>
    <sheet name="Pedidos de Venda" sheetId="1" r:id="rId1"/>
    <sheet name="Analise" sheetId="2" r:id="rId2"/>
    <sheet name="Necessidade" sheetId="4" r:id="rId3"/>
    <sheet name="Tiny" sheetId="5" r:id="rId4"/>
    <sheet name="Lista de Itens Bad" sheetId="6" state="hidden" r:id="rId5"/>
    <sheet name="PA" sheetId="7" state="hidden" r:id="rId6"/>
    <sheet name="Verificacao" sheetId="8" r:id="rId7"/>
    <sheet name="Cod" sheetId="10" state="hidden" r:id="rId8"/>
  </sheets>
  <externalReferences>
    <externalReference r:id="rId9"/>
    <externalReference r:id="rId10"/>
  </externalReferences>
  <definedNames>
    <definedName name="_xlnm._FilterDatabase" localSheetId="7" hidden="1">Cod!$A$1:$B$369</definedName>
    <definedName name="_xlnm._FilterDatabase" localSheetId="4" hidden="1">'Lista de Itens Bad'!$A$1:$B$52</definedName>
    <definedName name="_xlnm._FilterDatabase" localSheetId="2" hidden="1">Necessidade!$A$1:$Q$1282</definedName>
    <definedName name="_xlnm._FilterDatabase" localSheetId="5" hidden="1">PA!$A$1:$E$166</definedName>
    <definedName name="_xlnm._FilterDatabase" localSheetId="3" hidden="1">Tiny!$A$1:$I$1</definedName>
    <definedName name="_xlnm.Print_Area" localSheetId="0">'Pedidos de Venda'!$A$1:$M$24</definedName>
    <definedName name="_xlnm.Print_Titles" localSheetId="0">'Pedidos de Venda'!$1:$6</definedName>
  </definedNames>
  <calcPr calcId="191029"/>
  <pivotCaches>
    <pivotCache cacheId="4" r:id="rId11"/>
    <pivotCache cacheId="7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8" l="1"/>
  <c r="D19" i="8"/>
  <c r="D9" i="1"/>
  <c r="F9" i="1"/>
  <c r="N9" i="1" s="1"/>
  <c r="H9" i="1"/>
  <c r="I9" i="1" s="1"/>
  <c r="J9" i="1" s="1"/>
  <c r="M9" i="1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8" i="1"/>
  <c r="F8" i="1"/>
  <c r="H8" i="1"/>
  <c r="I8" i="1"/>
  <c r="J8" i="1" s="1"/>
  <c r="M8" i="1"/>
  <c r="D5" i="8"/>
  <c r="A4" i="2"/>
  <c r="C4" i="2"/>
  <c r="E4" i="2" s="1"/>
  <c r="A5" i="2"/>
  <c r="B5" i="2"/>
  <c r="C5" i="2"/>
  <c r="E5" i="2" s="1"/>
  <c r="A6" i="2"/>
  <c r="B6" i="2"/>
  <c r="C6" i="2"/>
  <c r="E6" i="2" s="1"/>
  <c r="A7" i="2"/>
  <c r="B7" i="2"/>
  <c r="C7" i="2"/>
  <c r="E7" i="2" s="1"/>
  <c r="A8" i="2"/>
  <c r="B8" i="2"/>
  <c r="C8" i="2"/>
  <c r="E8" i="2" s="1"/>
  <c r="A9" i="2"/>
  <c r="B9" i="2"/>
  <c r="C9" i="2"/>
  <c r="E9" i="2" s="1"/>
  <c r="A10" i="2"/>
  <c r="B10" i="2"/>
  <c r="C10" i="2"/>
  <c r="E10" i="2" s="1"/>
  <c r="A11" i="2"/>
  <c r="B11" i="2"/>
  <c r="C11" i="2"/>
  <c r="E11" i="2" s="1"/>
  <c r="A12" i="2"/>
  <c r="B12" i="2"/>
  <c r="C12" i="2"/>
  <c r="E12" i="2" s="1"/>
  <c r="A13" i="2"/>
  <c r="B13" i="2"/>
  <c r="C13" i="2"/>
  <c r="E13" i="2" s="1"/>
  <c r="A14" i="2"/>
  <c r="B14" i="2"/>
  <c r="C14" i="2"/>
  <c r="E14" i="2" s="1"/>
  <c r="A15" i="2"/>
  <c r="B15" i="2"/>
  <c r="C15" i="2"/>
  <c r="E15" i="2" s="1"/>
  <c r="A16" i="2"/>
  <c r="B16" i="2"/>
  <c r="C16" i="2"/>
  <c r="E16" i="2" s="1"/>
  <c r="A17" i="2"/>
  <c r="B17" i="2"/>
  <c r="C17" i="2"/>
  <c r="E17" i="2" s="1"/>
  <c r="A18" i="2"/>
  <c r="B18" i="2"/>
  <c r="C18" i="2"/>
  <c r="E18" i="2" s="1"/>
  <c r="A19" i="2"/>
  <c r="B19" i="2"/>
  <c r="C19" i="2"/>
  <c r="E19" i="2" s="1"/>
  <c r="A20" i="2"/>
  <c r="B20" i="2"/>
  <c r="C20" i="2"/>
  <c r="E20" i="2" s="1"/>
  <c r="A21" i="2"/>
  <c r="B21" i="2"/>
  <c r="C21" i="2"/>
  <c r="E21" i="2" s="1"/>
  <c r="A22" i="2"/>
  <c r="B22" i="2"/>
  <c r="C22" i="2"/>
  <c r="E22" i="2" s="1"/>
  <c r="A23" i="2"/>
  <c r="B23" i="2"/>
  <c r="C23" i="2"/>
  <c r="E23" i="2" s="1"/>
  <c r="A24" i="2"/>
  <c r="B24" i="2"/>
  <c r="C24" i="2"/>
  <c r="E24" i="2" s="1"/>
  <c r="A25" i="2"/>
  <c r="B25" i="2"/>
  <c r="C25" i="2"/>
  <c r="E25" i="2" s="1"/>
  <c r="A26" i="2"/>
  <c r="B26" i="2"/>
  <c r="C26" i="2"/>
  <c r="E26" i="2" s="1"/>
  <c r="A27" i="2"/>
  <c r="B27" i="2"/>
  <c r="C27" i="2"/>
  <c r="E27" i="2" s="1"/>
  <c r="A28" i="2"/>
  <c r="B28" i="2"/>
  <c r="C28" i="2"/>
  <c r="E28" i="2" s="1"/>
  <c r="A29" i="2"/>
  <c r="B29" i="2"/>
  <c r="C29" i="2"/>
  <c r="E29" i="2" s="1"/>
  <c r="A30" i="2"/>
  <c r="B30" i="2"/>
  <c r="C30" i="2"/>
  <c r="E30" i="2" s="1"/>
  <c r="A31" i="2"/>
  <c r="B31" i="2"/>
  <c r="C31" i="2"/>
  <c r="E31" i="2" s="1"/>
  <c r="A32" i="2"/>
  <c r="B32" i="2"/>
  <c r="C32" i="2"/>
  <c r="E32" i="2" s="1"/>
  <c r="A33" i="2"/>
  <c r="B33" i="2"/>
  <c r="C33" i="2"/>
  <c r="E33" i="2" s="1"/>
  <c r="A34" i="2"/>
  <c r="B34" i="2"/>
  <c r="C34" i="2"/>
  <c r="E34" i="2" s="1"/>
  <c r="A35" i="2"/>
  <c r="B35" i="2"/>
  <c r="C35" i="2"/>
  <c r="E35" i="2" s="1"/>
  <c r="A36" i="2"/>
  <c r="B36" i="2"/>
  <c r="C36" i="2"/>
  <c r="E36" i="2" s="1"/>
  <c r="A37" i="2"/>
  <c r="B37" i="2"/>
  <c r="C37" i="2"/>
  <c r="E37" i="2" s="1"/>
  <c r="A38" i="2"/>
  <c r="B38" i="2"/>
  <c r="C38" i="2"/>
  <c r="E38" i="2" s="1"/>
  <c r="A39" i="2"/>
  <c r="B39" i="2"/>
  <c r="C39" i="2"/>
  <c r="E39" i="2" s="1"/>
  <c r="A40" i="2"/>
  <c r="B40" i="2"/>
  <c r="C40" i="2"/>
  <c r="E40" i="2" s="1"/>
  <c r="A41" i="2"/>
  <c r="B41" i="2"/>
  <c r="C41" i="2"/>
  <c r="E41" i="2" s="1"/>
  <c r="A42" i="2"/>
  <c r="B42" i="2"/>
  <c r="C42" i="2"/>
  <c r="E42" i="2" s="1"/>
  <c r="A43" i="2"/>
  <c r="B43" i="2"/>
  <c r="C43" i="2"/>
  <c r="E43" i="2" s="1"/>
  <c r="A44" i="2"/>
  <c r="B44" i="2"/>
  <c r="C44" i="2"/>
  <c r="E44" i="2" s="1"/>
  <c r="A45" i="2"/>
  <c r="B45" i="2"/>
  <c r="C45" i="2"/>
  <c r="E45" i="2" s="1"/>
  <c r="A46" i="2"/>
  <c r="B46" i="2"/>
  <c r="C46" i="2"/>
  <c r="E46" i="2" s="1"/>
  <c r="A47" i="2"/>
  <c r="B47" i="2"/>
  <c r="C47" i="2"/>
  <c r="E47" i="2" s="1"/>
  <c r="A48" i="2"/>
  <c r="B48" i="2"/>
  <c r="C48" i="2"/>
  <c r="E48" i="2" s="1"/>
  <c r="A49" i="2"/>
  <c r="B49" i="2"/>
  <c r="C49" i="2"/>
  <c r="E49" i="2" s="1"/>
  <c r="A50" i="2"/>
  <c r="B50" i="2"/>
  <c r="C50" i="2"/>
  <c r="E50" i="2" s="1"/>
  <c r="A51" i="2"/>
  <c r="B51" i="2"/>
  <c r="C51" i="2"/>
  <c r="E51" i="2" s="1"/>
  <c r="A52" i="2"/>
  <c r="B52" i="2"/>
  <c r="C52" i="2"/>
  <c r="E52" i="2" s="1"/>
  <c r="A53" i="2"/>
  <c r="B53" i="2"/>
  <c r="C53" i="2"/>
  <c r="E53" i="2" s="1"/>
  <c r="A54" i="2"/>
  <c r="B54" i="2"/>
  <c r="C54" i="2"/>
  <c r="E54" i="2" s="1"/>
  <c r="A55" i="2"/>
  <c r="B55" i="2"/>
  <c r="C55" i="2"/>
  <c r="E55" i="2" s="1"/>
  <c r="A56" i="2"/>
  <c r="B56" i="2"/>
  <c r="C56" i="2"/>
  <c r="E56" i="2" s="1"/>
  <c r="A57" i="2"/>
  <c r="B57" i="2"/>
  <c r="C57" i="2"/>
  <c r="E57" i="2" s="1"/>
  <c r="A58" i="2"/>
  <c r="B58" i="2"/>
  <c r="C58" i="2"/>
  <c r="E58" i="2" s="1"/>
  <c r="A59" i="2"/>
  <c r="B59" i="2"/>
  <c r="C59" i="2"/>
  <c r="E59" i="2" s="1"/>
  <c r="A60" i="2"/>
  <c r="B60" i="2"/>
  <c r="C60" i="2"/>
  <c r="E60" i="2" s="1"/>
  <c r="A61" i="2"/>
  <c r="B61" i="2"/>
  <c r="C61" i="2"/>
  <c r="E61" i="2" s="1"/>
  <c r="A62" i="2"/>
  <c r="B62" i="2"/>
  <c r="C62" i="2"/>
  <c r="E62" i="2" s="1"/>
  <c r="A63" i="2"/>
  <c r="B63" i="2"/>
  <c r="C63" i="2"/>
  <c r="E63" i="2" s="1"/>
  <c r="A64" i="2"/>
  <c r="B64" i="2"/>
  <c r="C64" i="2"/>
  <c r="E64" i="2" s="1"/>
  <c r="A65" i="2"/>
  <c r="B65" i="2"/>
  <c r="C65" i="2"/>
  <c r="E65" i="2" s="1"/>
  <c r="A66" i="2"/>
  <c r="B66" i="2"/>
  <c r="C66" i="2"/>
  <c r="E66" i="2" s="1"/>
  <c r="A67" i="2"/>
  <c r="B67" i="2"/>
  <c r="C67" i="2"/>
  <c r="E67" i="2" s="1"/>
  <c r="A68" i="2"/>
  <c r="B68" i="2"/>
  <c r="C68" i="2"/>
  <c r="E68" i="2" s="1"/>
  <c r="A69" i="2"/>
  <c r="B69" i="2"/>
  <c r="C69" i="2"/>
  <c r="E69" i="2" s="1"/>
  <c r="A70" i="2"/>
  <c r="B70" i="2"/>
  <c r="C70" i="2"/>
  <c r="E70" i="2" s="1"/>
  <c r="A71" i="2"/>
  <c r="B71" i="2"/>
  <c r="C71" i="2"/>
  <c r="E71" i="2" s="1"/>
  <c r="A72" i="2"/>
  <c r="B72" i="2"/>
  <c r="C72" i="2"/>
  <c r="E72" i="2" s="1"/>
  <c r="A73" i="2"/>
  <c r="B73" i="2"/>
  <c r="C73" i="2"/>
  <c r="E73" i="2" s="1"/>
  <c r="A74" i="2"/>
  <c r="B74" i="2"/>
  <c r="C74" i="2"/>
  <c r="E74" i="2" s="1"/>
  <c r="A75" i="2"/>
  <c r="B75" i="2"/>
  <c r="C75" i="2"/>
  <c r="E75" i="2" s="1"/>
  <c r="A76" i="2"/>
  <c r="B76" i="2"/>
  <c r="C76" i="2"/>
  <c r="E76" i="2" s="1"/>
  <c r="A77" i="2"/>
  <c r="B77" i="2"/>
  <c r="C77" i="2"/>
  <c r="E77" i="2" s="1"/>
  <c r="A78" i="2"/>
  <c r="B78" i="2"/>
  <c r="C78" i="2"/>
  <c r="E78" i="2" s="1"/>
  <c r="A79" i="2"/>
  <c r="B79" i="2"/>
  <c r="C79" i="2"/>
  <c r="E79" i="2" s="1"/>
  <c r="A80" i="2"/>
  <c r="B80" i="2"/>
  <c r="C80" i="2"/>
  <c r="E80" i="2" s="1"/>
  <c r="A81" i="2"/>
  <c r="B81" i="2"/>
  <c r="C81" i="2"/>
  <c r="E81" i="2" s="1"/>
  <c r="A82" i="2"/>
  <c r="B82" i="2"/>
  <c r="C82" i="2"/>
  <c r="E82" i="2" s="1"/>
  <c r="A83" i="2"/>
  <c r="B83" i="2"/>
  <c r="C83" i="2"/>
  <c r="E83" i="2" s="1"/>
  <c r="A84" i="2"/>
  <c r="B84" i="2"/>
  <c r="C84" i="2"/>
  <c r="E84" i="2" s="1"/>
  <c r="A85" i="2"/>
  <c r="B85" i="2"/>
  <c r="C85" i="2"/>
  <c r="E85" i="2" s="1"/>
  <c r="A86" i="2"/>
  <c r="B86" i="2"/>
  <c r="C86" i="2"/>
  <c r="E86" i="2" s="1"/>
  <c r="A87" i="2"/>
  <c r="B87" i="2"/>
  <c r="C87" i="2"/>
  <c r="E87" i="2" s="1"/>
  <c r="A88" i="2"/>
  <c r="B88" i="2"/>
  <c r="C88" i="2"/>
  <c r="E88" i="2" s="1"/>
  <c r="A89" i="2"/>
  <c r="B89" i="2"/>
  <c r="C89" i="2"/>
  <c r="E89" i="2" s="1"/>
  <c r="A90" i="2"/>
  <c r="B90" i="2"/>
  <c r="C90" i="2"/>
  <c r="E90" i="2" s="1"/>
  <c r="A91" i="2"/>
  <c r="B91" i="2"/>
  <c r="C91" i="2"/>
  <c r="E91" i="2" s="1"/>
  <c r="A92" i="2"/>
  <c r="B92" i="2"/>
  <c r="C92" i="2"/>
  <c r="E92" i="2" s="1"/>
  <c r="A93" i="2"/>
  <c r="B93" i="2"/>
  <c r="C93" i="2"/>
  <c r="E93" i="2" s="1"/>
  <c r="A94" i="2"/>
  <c r="B94" i="2"/>
  <c r="C94" i="2"/>
  <c r="E94" i="2" s="1"/>
  <c r="A95" i="2"/>
  <c r="B95" i="2"/>
  <c r="C95" i="2"/>
  <c r="E95" i="2" s="1"/>
  <c r="A96" i="2"/>
  <c r="B96" i="2"/>
  <c r="C96" i="2"/>
  <c r="E96" i="2" s="1"/>
  <c r="A97" i="2"/>
  <c r="B97" i="2"/>
  <c r="C97" i="2"/>
  <c r="E97" i="2" s="1"/>
  <c r="A98" i="2"/>
  <c r="B98" i="2"/>
  <c r="C98" i="2"/>
  <c r="E98" i="2" s="1"/>
  <c r="A99" i="2"/>
  <c r="B99" i="2"/>
  <c r="C99" i="2"/>
  <c r="E99" i="2" s="1"/>
  <c r="A100" i="2"/>
  <c r="B100" i="2"/>
  <c r="C100" i="2"/>
  <c r="E100" i="2" s="1"/>
  <c r="A101" i="2"/>
  <c r="B101" i="2"/>
  <c r="C101" i="2"/>
  <c r="E101" i="2" s="1"/>
  <c r="A102" i="2"/>
  <c r="B102" i="2"/>
  <c r="C102" i="2"/>
  <c r="E102" i="2" s="1"/>
  <c r="A103" i="2"/>
  <c r="B103" i="2"/>
  <c r="C103" i="2"/>
  <c r="E103" i="2" s="1"/>
  <c r="A104" i="2"/>
  <c r="B104" i="2"/>
  <c r="C104" i="2"/>
  <c r="E104" i="2" s="1"/>
  <c r="A105" i="2"/>
  <c r="B105" i="2"/>
  <c r="C105" i="2"/>
  <c r="E105" i="2" s="1"/>
  <c r="A106" i="2"/>
  <c r="B106" i="2"/>
  <c r="C106" i="2"/>
  <c r="E106" i="2" s="1"/>
  <c r="A107" i="2"/>
  <c r="B107" i="2"/>
  <c r="C107" i="2"/>
  <c r="E107" i="2" s="1"/>
  <c r="A108" i="2"/>
  <c r="B108" i="2"/>
  <c r="C108" i="2"/>
  <c r="E108" i="2" s="1"/>
  <c r="A109" i="2"/>
  <c r="B109" i="2"/>
  <c r="C109" i="2"/>
  <c r="E109" i="2" s="1"/>
  <c r="A110" i="2"/>
  <c r="B110" i="2"/>
  <c r="C110" i="2"/>
  <c r="E110" i="2" s="1"/>
  <c r="A111" i="2"/>
  <c r="B111" i="2"/>
  <c r="C111" i="2"/>
  <c r="E111" i="2" s="1"/>
  <c r="A112" i="2"/>
  <c r="B112" i="2"/>
  <c r="C112" i="2"/>
  <c r="E112" i="2" s="1"/>
  <c r="A113" i="2"/>
  <c r="B113" i="2"/>
  <c r="C113" i="2"/>
  <c r="E113" i="2" s="1"/>
  <c r="A114" i="2"/>
  <c r="B114" i="2"/>
  <c r="C114" i="2"/>
  <c r="E114" i="2" s="1"/>
  <c r="A115" i="2"/>
  <c r="B115" i="2"/>
  <c r="C115" i="2"/>
  <c r="E115" i="2" s="1"/>
  <c r="A116" i="2"/>
  <c r="B116" i="2"/>
  <c r="C116" i="2"/>
  <c r="E116" i="2" s="1"/>
  <c r="A117" i="2"/>
  <c r="B117" i="2"/>
  <c r="C117" i="2"/>
  <c r="E117" i="2" s="1"/>
  <c r="A118" i="2"/>
  <c r="B118" i="2"/>
  <c r="C118" i="2"/>
  <c r="E118" i="2" s="1"/>
  <c r="A119" i="2"/>
  <c r="B119" i="2"/>
  <c r="C119" i="2"/>
  <c r="E119" i="2" s="1"/>
  <c r="A120" i="2"/>
  <c r="B120" i="2"/>
  <c r="C120" i="2"/>
  <c r="E120" i="2" s="1"/>
  <c r="A121" i="2"/>
  <c r="B121" i="2"/>
  <c r="C121" i="2"/>
  <c r="E121" i="2" s="1"/>
  <c r="A122" i="2"/>
  <c r="B122" i="2"/>
  <c r="C122" i="2"/>
  <c r="E122" i="2" s="1"/>
  <c r="A123" i="2"/>
  <c r="B123" i="2"/>
  <c r="C123" i="2"/>
  <c r="E123" i="2" s="1"/>
  <c r="A124" i="2"/>
  <c r="B124" i="2"/>
  <c r="C124" i="2"/>
  <c r="E124" i="2" s="1"/>
  <c r="A125" i="2"/>
  <c r="B125" i="2"/>
  <c r="C125" i="2"/>
  <c r="E125" i="2" s="1"/>
  <c r="A126" i="2"/>
  <c r="B126" i="2"/>
  <c r="C126" i="2"/>
  <c r="E126" i="2" s="1"/>
  <c r="A127" i="2"/>
  <c r="B127" i="2"/>
  <c r="C127" i="2"/>
  <c r="E127" i="2" s="1"/>
  <c r="A128" i="2"/>
  <c r="B128" i="2"/>
  <c r="C128" i="2"/>
  <c r="E128" i="2" s="1"/>
  <c r="A129" i="2"/>
  <c r="B129" i="2"/>
  <c r="C129" i="2"/>
  <c r="E129" i="2" s="1"/>
  <c r="A130" i="2"/>
  <c r="B130" i="2"/>
  <c r="C130" i="2"/>
  <c r="E130" i="2" s="1"/>
  <c r="A131" i="2"/>
  <c r="B131" i="2"/>
  <c r="C131" i="2"/>
  <c r="E131" i="2" s="1"/>
  <c r="A132" i="2"/>
  <c r="B132" i="2"/>
  <c r="C132" i="2"/>
  <c r="E132" i="2" s="1"/>
  <c r="A133" i="2"/>
  <c r="B133" i="2"/>
  <c r="C133" i="2"/>
  <c r="E133" i="2" s="1"/>
  <c r="A134" i="2"/>
  <c r="B134" i="2"/>
  <c r="C134" i="2"/>
  <c r="E134" i="2" s="1"/>
  <c r="A135" i="2"/>
  <c r="B135" i="2"/>
  <c r="C135" i="2"/>
  <c r="E135" i="2" s="1"/>
  <c r="A136" i="2"/>
  <c r="B136" i="2"/>
  <c r="C136" i="2"/>
  <c r="E136" i="2" s="1"/>
  <c r="A137" i="2"/>
  <c r="B137" i="2"/>
  <c r="C137" i="2"/>
  <c r="E137" i="2" s="1"/>
  <c r="A138" i="2"/>
  <c r="B138" i="2"/>
  <c r="C138" i="2"/>
  <c r="E138" i="2" s="1"/>
  <c r="A139" i="2"/>
  <c r="B139" i="2"/>
  <c r="C139" i="2"/>
  <c r="E139" i="2" s="1"/>
  <c r="A140" i="2"/>
  <c r="B140" i="2"/>
  <c r="C140" i="2"/>
  <c r="E140" i="2" s="1"/>
  <c r="A141" i="2"/>
  <c r="B141" i="2"/>
  <c r="C141" i="2"/>
  <c r="E141" i="2" s="1"/>
  <c r="A142" i="2"/>
  <c r="B142" i="2"/>
  <c r="C142" i="2"/>
  <c r="E142" i="2" s="1"/>
  <c r="A143" i="2"/>
  <c r="B143" i="2"/>
  <c r="C143" i="2"/>
  <c r="E143" i="2" s="1"/>
  <c r="A144" i="2"/>
  <c r="B144" i="2"/>
  <c r="C144" i="2"/>
  <c r="E144" i="2" s="1"/>
  <c r="A145" i="2"/>
  <c r="B145" i="2"/>
  <c r="C145" i="2"/>
  <c r="E145" i="2" s="1"/>
  <c r="A146" i="2"/>
  <c r="B146" i="2"/>
  <c r="C146" i="2"/>
  <c r="E146" i="2" s="1"/>
  <c r="A147" i="2"/>
  <c r="B147" i="2"/>
  <c r="C147" i="2"/>
  <c r="E147" i="2" s="1"/>
  <c r="A148" i="2"/>
  <c r="B148" i="2"/>
  <c r="C148" i="2"/>
  <c r="E148" i="2" s="1"/>
  <c r="A149" i="2"/>
  <c r="B149" i="2"/>
  <c r="C149" i="2"/>
  <c r="E149" i="2" s="1"/>
  <c r="A150" i="2"/>
  <c r="B150" i="2"/>
  <c r="C150" i="2"/>
  <c r="E150" i="2" s="1"/>
  <c r="A151" i="2"/>
  <c r="B151" i="2"/>
  <c r="C151" i="2"/>
  <c r="E151" i="2" s="1"/>
  <c r="A152" i="2"/>
  <c r="B152" i="2"/>
  <c r="C152" i="2"/>
  <c r="E152" i="2" s="1"/>
  <c r="A153" i="2"/>
  <c r="B153" i="2"/>
  <c r="C153" i="2"/>
  <c r="E153" i="2" s="1"/>
  <c r="A154" i="2"/>
  <c r="B154" i="2"/>
  <c r="C154" i="2"/>
  <c r="E154" i="2" s="1"/>
  <c r="A155" i="2"/>
  <c r="B155" i="2"/>
  <c r="C155" i="2"/>
  <c r="E155" i="2" s="1"/>
  <c r="A156" i="2"/>
  <c r="B156" i="2"/>
  <c r="C156" i="2"/>
  <c r="E156" i="2" s="1"/>
  <c r="A157" i="2"/>
  <c r="B157" i="2"/>
  <c r="C157" i="2"/>
  <c r="E157" i="2" s="1"/>
  <c r="A158" i="2"/>
  <c r="B158" i="2"/>
  <c r="C158" i="2"/>
  <c r="E158" i="2" s="1"/>
  <c r="A159" i="2"/>
  <c r="B159" i="2"/>
  <c r="C159" i="2"/>
  <c r="E159" i="2" s="1"/>
  <c r="A160" i="2"/>
  <c r="B160" i="2"/>
  <c r="C160" i="2"/>
  <c r="E160" i="2" s="1"/>
  <c r="A161" i="2"/>
  <c r="B161" i="2"/>
  <c r="C161" i="2"/>
  <c r="E161" i="2" s="1"/>
  <c r="A162" i="2"/>
  <c r="B162" i="2"/>
  <c r="C162" i="2"/>
  <c r="E162" i="2" s="1"/>
  <c r="A163" i="2"/>
  <c r="B163" i="2"/>
  <c r="C163" i="2"/>
  <c r="E163" i="2" s="1"/>
  <c r="A164" i="2"/>
  <c r="B164" i="2"/>
  <c r="C164" i="2"/>
  <c r="E164" i="2" s="1"/>
  <c r="A165" i="2"/>
  <c r="B165" i="2"/>
  <c r="C165" i="2"/>
  <c r="E165" i="2" s="1"/>
  <c r="A166" i="2"/>
  <c r="B166" i="2"/>
  <c r="C166" i="2"/>
  <c r="E166" i="2" s="1"/>
  <c r="A167" i="2"/>
  <c r="B167" i="2"/>
  <c r="C167" i="2"/>
  <c r="E167" i="2" s="1"/>
  <c r="A168" i="2"/>
  <c r="B168" i="2"/>
  <c r="C168" i="2"/>
  <c r="E168" i="2" s="1"/>
  <c r="A169" i="2"/>
  <c r="B169" i="2"/>
  <c r="C169" i="2"/>
  <c r="E169" i="2" s="1"/>
  <c r="A170" i="2"/>
  <c r="B170" i="2"/>
  <c r="C170" i="2"/>
  <c r="E170" i="2" s="1"/>
  <c r="A171" i="2"/>
  <c r="B171" i="2"/>
  <c r="C171" i="2"/>
  <c r="E171" i="2" s="1"/>
  <c r="A172" i="2"/>
  <c r="B172" i="2"/>
  <c r="C172" i="2"/>
  <c r="E172" i="2" s="1"/>
  <c r="A173" i="2"/>
  <c r="B173" i="2"/>
  <c r="C173" i="2"/>
  <c r="E173" i="2" s="1"/>
  <c r="A174" i="2"/>
  <c r="B174" i="2"/>
  <c r="C174" i="2"/>
  <c r="E174" i="2" s="1"/>
  <c r="A175" i="2"/>
  <c r="B175" i="2"/>
  <c r="C175" i="2"/>
  <c r="E175" i="2" s="1"/>
  <c r="A176" i="2"/>
  <c r="B176" i="2"/>
  <c r="C176" i="2"/>
  <c r="E176" i="2" s="1"/>
  <c r="A177" i="2"/>
  <c r="B177" i="2"/>
  <c r="C177" i="2"/>
  <c r="E177" i="2" s="1"/>
  <c r="A178" i="2"/>
  <c r="B178" i="2"/>
  <c r="C178" i="2"/>
  <c r="E178" i="2" s="1"/>
  <c r="A179" i="2"/>
  <c r="B179" i="2"/>
  <c r="C179" i="2"/>
  <c r="E179" i="2" s="1"/>
  <c r="A180" i="2"/>
  <c r="B180" i="2"/>
  <c r="C180" i="2"/>
  <c r="E180" i="2" s="1"/>
  <c r="A181" i="2"/>
  <c r="B181" i="2"/>
  <c r="C181" i="2"/>
  <c r="E181" i="2" s="1"/>
  <c r="A182" i="2"/>
  <c r="B182" i="2"/>
  <c r="C182" i="2"/>
  <c r="E182" i="2" s="1"/>
  <c r="A183" i="2"/>
  <c r="B183" i="2"/>
  <c r="C183" i="2"/>
  <c r="E183" i="2" s="1"/>
  <c r="A184" i="2"/>
  <c r="B184" i="2"/>
  <c r="C184" i="2"/>
  <c r="E184" i="2" s="1"/>
  <c r="A185" i="2"/>
  <c r="B185" i="2"/>
  <c r="C185" i="2"/>
  <c r="E185" i="2" s="1"/>
  <c r="A186" i="2"/>
  <c r="B186" i="2"/>
  <c r="C186" i="2"/>
  <c r="E186" i="2" s="1"/>
  <c r="A187" i="2"/>
  <c r="B187" i="2"/>
  <c r="C187" i="2"/>
  <c r="E187" i="2" s="1"/>
  <c r="A188" i="2"/>
  <c r="B188" i="2"/>
  <c r="C188" i="2"/>
  <c r="E188" i="2" s="1"/>
  <c r="A189" i="2"/>
  <c r="B189" i="2"/>
  <c r="C189" i="2"/>
  <c r="E189" i="2" s="1"/>
  <c r="A190" i="2"/>
  <c r="B190" i="2"/>
  <c r="C190" i="2"/>
  <c r="E190" i="2" s="1"/>
  <c r="A191" i="2"/>
  <c r="B191" i="2"/>
  <c r="C191" i="2"/>
  <c r="E191" i="2" s="1"/>
  <c r="A192" i="2"/>
  <c r="B192" i="2"/>
  <c r="C192" i="2"/>
  <c r="E192" i="2" s="1"/>
  <c r="A193" i="2"/>
  <c r="B193" i="2"/>
  <c r="C193" i="2"/>
  <c r="E193" i="2" s="1"/>
  <c r="A194" i="2"/>
  <c r="B194" i="2"/>
  <c r="C194" i="2"/>
  <c r="E194" i="2" s="1"/>
  <c r="A195" i="2"/>
  <c r="B195" i="2"/>
  <c r="C195" i="2"/>
  <c r="E195" i="2" s="1"/>
  <c r="A196" i="2"/>
  <c r="B196" i="2"/>
  <c r="C196" i="2"/>
  <c r="E196" i="2" s="1"/>
  <c r="A197" i="2"/>
  <c r="B197" i="2"/>
  <c r="C197" i="2"/>
  <c r="E197" i="2" s="1"/>
  <c r="A198" i="2"/>
  <c r="B198" i="2"/>
  <c r="C198" i="2"/>
  <c r="E198" i="2" s="1"/>
  <c r="A199" i="2"/>
  <c r="B199" i="2"/>
  <c r="C199" i="2"/>
  <c r="E199" i="2" s="1"/>
  <c r="A200" i="2"/>
  <c r="B200" i="2"/>
  <c r="C200" i="2"/>
  <c r="E200" i="2" s="1"/>
  <c r="A201" i="2"/>
  <c r="B201" i="2"/>
  <c r="C201" i="2"/>
  <c r="E201" i="2" s="1"/>
  <c r="A202" i="2"/>
  <c r="B202" i="2"/>
  <c r="C202" i="2"/>
  <c r="E202" i="2" s="1"/>
  <c r="A203" i="2"/>
  <c r="B203" i="2"/>
  <c r="C203" i="2"/>
  <c r="E203" i="2" s="1"/>
  <c r="A204" i="2"/>
  <c r="B204" i="2"/>
  <c r="C204" i="2"/>
  <c r="E204" i="2" s="1"/>
  <c r="A205" i="2"/>
  <c r="B205" i="2"/>
  <c r="C205" i="2"/>
  <c r="E205" i="2" s="1"/>
  <c r="A206" i="2"/>
  <c r="B206" i="2"/>
  <c r="C206" i="2"/>
  <c r="E206" i="2" s="1"/>
  <c r="A207" i="2"/>
  <c r="B207" i="2"/>
  <c r="C207" i="2"/>
  <c r="E207" i="2" s="1"/>
  <c r="A208" i="2"/>
  <c r="B208" i="2"/>
  <c r="C208" i="2"/>
  <c r="E208" i="2" s="1"/>
  <c r="A209" i="2"/>
  <c r="B209" i="2"/>
  <c r="C209" i="2"/>
  <c r="E209" i="2" s="1"/>
  <c r="A210" i="2"/>
  <c r="B210" i="2"/>
  <c r="C210" i="2"/>
  <c r="E210" i="2" s="1"/>
  <c r="A211" i="2"/>
  <c r="B211" i="2"/>
  <c r="C211" i="2"/>
  <c r="E211" i="2" s="1"/>
  <c r="A212" i="2"/>
  <c r="B212" i="2"/>
  <c r="C212" i="2"/>
  <c r="E212" i="2" s="1"/>
  <c r="A213" i="2"/>
  <c r="B213" i="2"/>
  <c r="C213" i="2"/>
  <c r="E213" i="2" s="1"/>
  <c r="A214" i="2"/>
  <c r="B214" i="2"/>
  <c r="C214" i="2"/>
  <c r="E214" i="2" s="1"/>
  <c r="A215" i="2"/>
  <c r="B215" i="2"/>
  <c r="C215" i="2"/>
  <c r="E215" i="2" s="1"/>
  <c r="A216" i="2"/>
  <c r="B216" i="2"/>
  <c r="C216" i="2"/>
  <c r="E216" i="2" s="1"/>
  <c r="A217" i="2"/>
  <c r="B217" i="2"/>
  <c r="C217" i="2"/>
  <c r="E217" i="2" s="1"/>
  <c r="A218" i="2"/>
  <c r="B218" i="2"/>
  <c r="C218" i="2"/>
  <c r="E218" i="2" s="1"/>
  <c r="A219" i="2"/>
  <c r="B219" i="2"/>
  <c r="C219" i="2"/>
  <c r="E219" i="2" s="1"/>
  <c r="A220" i="2"/>
  <c r="B220" i="2"/>
  <c r="C220" i="2"/>
  <c r="E220" i="2" s="1"/>
  <c r="A221" i="2"/>
  <c r="B221" i="2"/>
  <c r="C221" i="2"/>
  <c r="E221" i="2" s="1"/>
  <c r="A222" i="2"/>
  <c r="B222" i="2"/>
  <c r="C222" i="2"/>
  <c r="E222" i="2" s="1"/>
  <c r="A223" i="2"/>
  <c r="B223" i="2"/>
  <c r="C223" i="2"/>
  <c r="E223" i="2" s="1"/>
  <c r="A224" i="2"/>
  <c r="B224" i="2"/>
  <c r="C224" i="2"/>
  <c r="E224" i="2" s="1"/>
  <c r="A225" i="2"/>
  <c r="B225" i="2"/>
  <c r="C225" i="2"/>
  <c r="E225" i="2" s="1"/>
  <c r="A226" i="2"/>
  <c r="B226" i="2"/>
  <c r="C226" i="2"/>
  <c r="E226" i="2" s="1"/>
  <c r="A227" i="2"/>
  <c r="B227" i="2"/>
  <c r="C227" i="2"/>
  <c r="E227" i="2" s="1"/>
  <c r="A228" i="2"/>
  <c r="B228" i="2"/>
  <c r="C228" i="2"/>
  <c r="E228" i="2" s="1"/>
  <c r="A229" i="2"/>
  <c r="B229" i="2"/>
  <c r="C229" i="2"/>
  <c r="E229" i="2" s="1"/>
  <c r="A230" i="2"/>
  <c r="B230" i="2"/>
  <c r="C230" i="2"/>
  <c r="E230" i="2" s="1"/>
  <c r="A231" i="2"/>
  <c r="B231" i="2"/>
  <c r="C231" i="2"/>
  <c r="E231" i="2" s="1"/>
  <c r="A232" i="2"/>
  <c r="B232" i="2"/>
  <c r="C232" i="2"/>
  <c r="E232" i="2" s="1"/>
  <c r="A233" i="2"/>
  <c r="B233" i="2"/>
  <c r="C233" i="2"/>
  <c r="E233" i="2" s="1"/>
  <c r="A234" i="2"/>
  <c r="B234" i="2"/>
  <c r="C234" i="2"/>
  <c r="E234" i="2" s="1"/>
  <c r="A235" i="2"/>
  <c r="B235" i="2"/>
  <c r="C235" i="2"/>
  <c r="E235" i="2" s="1"/>
  <c r="A236" i="2"/>
  <c r="B236" i="2"/>
  <c r="C236" i="2"/>
  <c r="E236" i="2" s="1"/>
  <c r="A237" i="2"/>
  <c r="B237" i="2"/>
  <c r="C237" i="2"/>
  <c r="E237" i="2" s="1"/>
  <c r="A238" i="2"/>
  <c r="B238" i="2"/>
  <c r="C238" i="2"/>
  <c r="E238" i="2" s="1"/>
  <c r="F238" i="2" s="1"/>
  <c r="D238" i="2" s="1"/>
  <c r="G238" i="2" s="1"/>
  <c r="A239" i="2"/>
  <c r="B239" i="2"/>
  <c r="C239" i="2"/>
  <c r="E239" i="2" s="1"/>
  <c r="A240" i="2"/>
  <c r="B240" i="2"/>
  <c r="C240" i="2"/>
  <c r="E240" i="2" s="1"/>
  <c r="A241" i="2"/>
  <c r="B241" i="2"/>
  <c r="C241" i="2"/>
  <c r="E241" i="2" s="1"/>
  <c r="A242" i="2"/>
  <c r="B242" i="2"/>
  <c r="C242" i="2"/>
  <c r="E242" i="2" s="1"/>
  <c r="F242" i="2" s="1"/>
  <c r="D242" i="2" s="1"/>
  <c r="G242" i="2" s="1"/>
  <c r="A243" i="2"/>
  <c r="B243" i="2"/>
  <c r="C243" i="2"/>
  <c r="E243" i="2" s="1"/>
  <c r="A244" i="2"/>
  <c r="B244" i="2"/>
  <c r="C244" i="2"/>
  <c r="E244" i="2" s="1"/>
  <c r="A245" i="2"/>
  <c r="B245" i="2"/>
  <c r="C245" i="2"/>
  <c r="E245" i="2" s="1"/>
  <c r="A246" i="2"/>
  <c r="B246" i="2"/>
  <c r="C246" i="2"/>
  <c r="E246" i="2" s="1"/>
  <c r="A247" i="2"/>
  <c r="B247" i="2"/>
  <c r="C247" i="2"/>
  <c r="E247" i="2" s="1"/>
  <c r="A248" i="2"/>
  <c r="B248" i="2"/>
  <c r="C248" i="2"/>
  <c r="E248" i="2" s="1"/>
  <c r="A249" i="2"/>
  <c r="B249" i="2"/>
  <c r="C249" i="2"/>
  <c r="E249" i="2" s="1"/>
  <c r="A250" i="2"/>
  <c r="B250" i="2"/>
  <c r="C250" i="2"/>
  <c r="E250" i="2" s="1"/>
  <c r="N8" i="1" l="1"/>
  <c r="F79" i="2"/>
  <c r="D79" i="2" s="1"/>
  <c r="G79" i="2" s="1"/>
  <c r="F172" i="2"/>
  <c r="D172" i="2" s="1"/>
  <c r="G172" i="2" s="1"/>
  <c r="F151" i="2"/>
  <c r="D151" i="2" s="1"/>
  <c r="G151" i="2" s="1"/>
  <c r="F115" i="2"/>
  <c r="D115" i="2" s="1"/>
  <c r="G115" i="2" s="1"/>
  <c r="F110" i="2"/>
  <c r="D110" i="2" s="1"/>
  <c r="G110" i="2" s="1"/>
  <c r="F55" i="2"/>
  <c r="D55" i="2" s="1"/>
  <c r="G55" i="2" s="1"/>
  <c r="F39" i="2"/>
  <c r="D39" i="2" s="1"/>
  <c r="G39" i="2" s="1"/>
  <c r="F17" i="2"/>
  <c r="D17" i="2" s="1"/>
  <c r="G17" i="2" s="1"/>
  <c r="F220" i="2"/>
  <c r="D220" i="2" s="1"/>
  <c r="G220" i="2" s="1"/>
  <c r="F212" i="2"/>
  <c r="D212" i="2" s="1"/>
  <c r="G212" i="2" s="1"/>
  <c r="F208" i="2"/>
  <c r="D208" i="2" s="1"/>
  <c r="G208" i="2" s="1"/>
  <c r="F202" i="2"/>
  <c r="D202" i="2" s="1"/>
  <c r="G202" i="2" s="1"/>
  <c r="F170" i="2"/>
  <c r="D170" i="2" s="1"/>
  <c r="G170" i="2" s="1"/>
  <c r="F157" i="2"/>
  <c r="D157" i="2" s="1"/>
  <c r="G157" i="2" s="1"/>
  <c r="F153" i="2"/>
  <c r="D153" i="2" s="1"/>
  <c r="G153" i="2" s="1"/>
  <c r="F131" i="2"/>
  <c r="D131" i="2" s="1"/>
  <c r="G131" i="2" s="1"/>
  <c r="F225" i="2"/>
  <c r="D225" i="2" s="1"/>
  <c r="G225" i="2" s="1"/>
  <c r="F221" i="2"/>
  <c r="D221" i="2" s="1"/>
  <c r="G221" i="2" s="1"/>
  <c r="F132" i="2"/>
  <c r="D132" i="2" s="1"/>
  <c r="G132" i="2" s="1"/>
  <c r="F123" i="2"/>
  <c r="D123" i="2" s="1"/>
  <c r="G123" i="2" s="1"/>
  <c r="F97" i="2"/>
  <c r="D97" i="2" s="1"/>
  <c r="G97" i="2" s="1"/>
  <c r="F54" i="2"/>
  <c r="D54" i="2" s="1"/>
  <c r="G54" i="2" s="1"/>
  <c r="F38" i="2"/>
  <c r="D38" i="2" s="1"/>
  <c r="G38" i="2" s="1"/>
  <c r="F23" i="2"/>
  <c r="D23" i="2" s="1"/>
  <c r="G23" i="2" s="1"/>
  <c r="F22" i="2"/>
  <c r="D22" i="2" s="1"/>
  <c r="G22" i="2" s="1"/>
  <c r="F6" i="2"/>
  <c r="D6" i="2" s="1"/>
  <c r="G6" i="2" s="1"/>
  <c r="F240" i="2"/>
  <c r="D240" i="2" s="1"/>
  <c r="G240" i="2" s="1"/>
  <c r="F235" i="2"/>
  <c r="D235" i="2" s="1"/>
  <c r="G235" i="2" s="1"/>
  <c r="F116" i="2"/>
  <c r="D116" i="2" s="1"/>
  <c r="G116" i="2" s="1"/>
  <c r="F103" i="2"/>
  <c r="D103" i="2" s="1"/>
  <c r="G103" i="2" s="1"/>
  <c r="F78" i="2"/>
  <c r="D78" i="2" s="1"/>
  <c r="G78" i="2" s="1"/>
  <c r="F63" i="2"/>
  <c r="D63" i="2" s="1"/>
  <c r="G63" i="2" s="1"/>
  <c r="F59" i="2"/>
  <c r="D59" i="2" s="1"/>
  <c r="G59" i="2" s="1"/>
  <c r="F53" i="2"/>
  <c r="D53" i="2" s="1"/>
  <c r="G53" i="2" s="1"/>
  <c r="F248" i="2"/>
  <c r="D248" i="2" s="1"/>
  <c r="G248" i="2" s="1"/>
  <c r="F243" i="2"/>
  <c r="D243" i="2" s="1"/>
  <c r="G243" i="2" s="1"/>
  <c r="F234" i="2"/>
  <c r="D234" i="2" s="1"/>
  <c r="G234" i="2" s="1"/>
  <c r="F230" i="2"/>
  <c r="D230" i="2" s="1"/>
  <c r="G230" i="2" s="1"/>
  <c r="F214" i="2"/>
  <c r="D214" i="2" s="1"/>
  <c r="G214" i="2" s="1"/>
  <c r="F210" i="2"/>
  <c r="D210" i="2" s="1"/>
  <c r="G210" i="2" s="1"/>
  <c r="F198" i="2"/>
  <c r="D198" i="2" s="1"/>
  <c r="G198" i="2" s="1"/>
  <c r="F188" i="2"/>
  <c r="D188" i="2" s="1"/>
  <c r="G188" i="2" s="1"/>
  <c r="F183" i="2"/>
  <c r="D183" i="2" s="1"/>
  <c r="G183" i="2" s="1"/>
  <c r="F120" i="2"/>
  <c r="D120" i="2" s="1"/>
  <c r="G120" i="2" s="1"/>
  <c r="F114" i="2"/>
  <c r="D114" i="2" s="1"/>
  <c r="G114" i="2" s="1"/>
  <c r="F109" i="2"/>
  <c r="D109" i="2" s="1"/>
  <c r="G109" i="2" s="1"/>
  <c r="F105" i="2"/>
  <c r="D105" i="2" s="1"/>
  <c r="G105" i="2" s="1"/>
  <c r="F62" i="2"/>
  <c r="D62" i="2" s="1"/>
  <c r="G62" i="2" s="1"/>
  <c r="F69" i="2"/>
  <c r="D69" i="2" s="1"/>
  <c r="G69" i="2" s="1"/>
  <c r="F37" i="2"/>
  <c r="D37" i="2" s="1"/>
  <c r="G37" i="2" s="1"/>
  <c r="F226" i="2"/>
  <c r="D226" i="2" s="1"/>
  <c r="G226" i="2" s="1"/>
  <c r="F200" i="2"/>
  <c r="D200" i="2" s="1"/>
  <c r="G200" i="2" s="1"/>
  <c r="F199" i="2"/>
  <c r="D199" i="2" s="1"/>
  <c r="G199" i="2" s="1"/>
  <c r="F99" i="2"/>
  <c r="D99" i="2" s="1"/>
  <c r="G99" i="2" s="1"/>
  <c r="F250" i="2"/>
  <c r="D250" i="2" s="1"/>
  <c r="G250" i="2" s="1"/>
  <c r="F246" i="2"/>
  <c r="D246" i="2" s="1"/>
  <c r="G246" i="2" s="1"/>
  <c r="F219" i="2"/>
  <c r="D219" i="2" s="1"/>
  <c r="G219" i="2" s="1"/>
  <c r="F207" i="2"/>
  <c r="D207" i="2" s="1"/>
  <c r="G207" i="2" s="1"/>
  <c r="F201" i="2"/>
  <c r="D201" i="2" s="1"/>
  <c r="G201" i="2" s="1"/>
  <c r="F189" i="2"/>
  <c r="D189" i="2" s="1"/>
  <c r="G189" i="2" s="1"/>
  <c r="F180" i="2"/>
  <c r="D180" i="2" s="1"/>
  <c r="G180" i="2" s="1"/>
  <c r="F179" i="2"/>
  <c r="D179" i="2" s="1"/>
  <c r="G179" i="2" s="1"/>
  <c r="F173" i="2"/>
  <c r="D173" i="2" s="1"/>
  <c r="G173" i="2" s="1"/>
  <c r="F165" i="2"/>
  <c r="D165" i="2" s="1"/>
  <c r="G165" i="2" s="1"/>
  <c r="F160" i="2"/>
  <c r="D160" i="2" s="1"/>
  <c r="G160" i="2" s="1"/>
  <c r="F145" i="2"/>
  <c r="D145" i="2" s="1"/>
  <c r="G145" i="2" s="1"/>
  <c r="F141" i="2"/>
  <c r="D141" i="2" s="1"/>
  <c r="G141" i="2" s="1"/>
  <c r="F137" i="2"/>
  <c r="D137" i="2" s="1"/>
  <c r="G137" i="2" s="1"/>
  <c r="F124" i="2"/>
  <c r="D124" i="2" s="1"/>
  <c r="G124" i="2" s="1"/>
  <c r="F104" i="2"/>
  <c r="D104" i="2" s="1"/>
  <c r="G104" i="2" s="1"/>
  <c r="F91" i="2"/>
  <c r="D91" i="2" s="1"/>
  <c r="G91" i="2" s="1"/>
  <c r="F85" i="2"/>
  <c r="D85" i="2" s="1"/>
  <c r="G85" i="2" s="1"/>
  <c r="F77" i="2"/>
  <c r="D77" i="2" s="1"/>
  <c r="G77" i="2" s="1"/>
  <c r="F61" i="2"/>
  <c r="D61" i="2" s="1"/>
  <c r="G61" i="2" s="1"/>
  <c r="F51" i="2"/>
  <c r="D51" i="2" s="1"/>
  <c r="G51" i="2" s="1"/>
  <c r="F45" i="2"/>
  <c r="D45" i="2" s="1"/>
  <c r="G45" i="2" s="1"/>
  <c r="F29" i="2"/>
  <c r="D29" i="2" s="1"/>
  <c r="G29" i="2" s="1"/>
  <c r="F176" i="2"/>
  <c r="D176" i="2" s="1"/>
  <c r="G176" i="2" s="1"/>
  <c r="F175" i="2"/>
  <c r="D175" i="2" s="1"/>
  <c r="G175" i="2" s="1"/>
  <c r="F149" i="2"/>
  <c r="D149" i="2" s="1"/>
  <c r="G149" i="2" s="1"/>
  <c r="F148" i="2"/>
  <c r="D148" i="2" s="1"/>
  <c r="G148" i="2" s="1"/>
  <c r="F142" i="2"/>
  <c r="D142" i="2" s="1"/>
  <c r="G142" i="2" s="1"/>
  <c r="F119" i="2"/>
  <c r="D119" i="2" s="1"/>
  <c r="G119" i="2" s="1"/>
  <c r="F87" i="2"/>
  <c r="D87" i="2" s="1"/>
  <c r="G87" i="2" s="1"/>
  <c r="F86" i="2"/>
  <c r="D86" i="2" s="1"/>
  <c r="G86" i="2" s="1"/>
  <c r="F71" i="2"/>
  <c r="D71" i="2" s="1"/>
  <c r="G71" i="2" s="1"/>
  <c r="F70" i="2"/>
  <c r="D70" i="2" s="1"/>
  <c r="G70" i="2" s="1"/>
  <c r="F241" i="2"/>
  <c r="D241" i="2" s="1"/>
  <c r="G241" i="2" s="1"/>
  <c r="F232" i="2"/>
  <c r="D232" i="2" s="1"/>
  <c r="G232" i="2" s="1"/>
  <c r="F227" i="2"/>
  <c r="D227" i="2" s="1"/>
  <c r="G227" i="2" s="1"/>
  <c r="F177" i="2"/>
  <c r="D177" i="2" s="1"/>
  <c r="G177" i="2" s="1"/>
  <c r="F167" i="2"/>
  <c r="D167" i="2" s="1"/>
  <c r="G167" i="2" s="1"/>
  <c r="F158" i="2"/>
  <c r="D158" i="2" s="1"/>
  <c r="G158" i="2" s="1"/>
  <c r="F154" i="2"/>
  <c r="D154" i="2" s="1"/>
  <c r="G154" i="2" s="1"/>
  <c r="F147" i="2"/>
  <c r="D147" i="2" s="1"/>
  <c r="G147" i="2" s="1"/>
  <c r="F140" i="2"/>
  <c r="D140" i="2" s="1"/>
  <c r="G140" i="2" s="1"/>
  <c r="F130" i="2"/>
  <c r="D130" i="2" s="1"/>
  <c r="G130" i="2" s="1"/>
  <c r="F118" i="2"/>
  <c r="D118" i="2" s="1"/>
  <c r="G118" i="2" s="1"/>
  <c r="F112" i="2"/>
  <c r="D112" i="2" s="1"/>
  <c r="G112" i="2" s="1"/>
  <c r="F106" i="2"/>
  <c r="D106" i="2" s="1"/>
  <c r="G106" i="2" s="1"/>
  <c r="F102" i="2"/>
  <c r="D102" i="2" s="1"/>
  <c r="G102" i="2" s="1"/>
  <c r="F96" i="2"/>
  <c r="D96" i="2" s="1"/>
  <c r="G96" i="2" s="1"/>
  <c r="F47" i="2"/>
  <c r="D47" i="2" s="1"/>
  <c r="G47" i="2" s="1"/>
  <c r="F46" i="2"/>
  <c r="D46" i="2" s="1"/>
  <c r="G46" i="2" s="1"/>
  <c r="F31" i="2"/>
  <c r="D31" i="2" s="1"/>
  <c r="G31" i="2" s="1"/>
  <c r="F30" i="2"/>
  <c r="D30" i="2" s="1"/>
  <c r="G30" i="2" s="1"/>
  <c r="F11" i="2"/>
  <c r="D11" i="2" s="1"/>
  <c r="G11" i="2" s="1"/>
  <c r="F7" i="2"/>
  <c r="D7" i="2" s="1"/>
  <c r="G7" i="2" s="1"/>
  <c r="F12" i="2"/>
  <c r="D12" i="2" s="1"/>
  <c r="G12" i="2" s="1"/>
  <c r="F162" i="2"/>
  <c r="D162" i="2" s="1"/>
  <c r="G162" i="2" s="1"/>
  <c r="F204" i="2"/>
  <c r="D204" i="2" s="1"/>
  <c r="G204" i="2" s="1"/>
  <c r="F192" i="2"/>
  <c r="D192" i="2" s="1"/>
  <c r="G192" i="2" s="1"/>
  <c r="F191" i="2"/>
  <c r="D191" i="2" s="1"/>
  <c r="G191" i="2" s="1"/>
  <c r="F107" i="2"/>
  <c r="D107" i="2" s="1"/>
  <c r="G107" i="2" s="1"/>
  <c r="F249" i="2"/>
  <c r="D249" i="2" s="1"/>
  <c r="G249" i="2" s="1"/>
  <c r="F233" i="2"/>
  <c r="D233" i="2" s="1"/>
  <c r="G233" i="2" s="1"/>
  <c r="F222" i="2"/>
  <c r="D222" i="2" s="1"/>
  <c r="G222" i="2" s="1"/>
  <c r="F218" i="2"/>
  <c r="D218" i="2" s="1"/>
  <c r="G218" i="2" s="1"/>
  <c r="F213" i="2"/>
  <c r="D213" i="2" s="1"/>
  <c r="G213" i="2" s="1"/>
  <c r="F205" i="2"/>
  <c r="D205" i="2" s="1"/>
  <c r="G205" i="2" s="1"/>
  <c r="F197" i="2"/>
  <c r="D197" i="2" s="1"/>
  <c r="G197" i="2" s="1"/>
  <c r="F186" i="2"/>
  <c r="D186" i="2" s="1"/>
  <c r="G186" i="2" s="1"/>
  <c r="F178" i="2"/>
  <c r="D178" i="2" s="1"/>
  <c r="G178" i="2" s="1"/>
  <c r="F171" i="2"/>
  <c r="D171" i="2" s="1"/>
  <c r="G171" i="2" s="1"/>
  <c r="F169" i="2"/>
  <c r="D169" i="2" s="1"/>
  <c r="G169" i="2" s="1"/>
  <c r="F161" i="2"/>
  <c r="D161" i="2" s="1"/>
  <c r="G161" i="2" s="1"/>
  <c r="F156" i="2"/>
  <c r="D156" i="2" s="1"/>
  <c r="G156" i="2" s="1"/>
  <c r="F152" i="2"/>
  <c r="D152" i="2" s="1"/>
  <c r="G152" i="2" s="1"/>
  <c r="F138" i="2"/>
  <c r="D138" i="2" s="1"/>
  <c r="G138" i="2" s="1"/>
  <c r="F128" i="2"/>
  <c r="D128" i="2" s="1"/>
  <c r="G128" i="2" s="1"/>
  <c r="F18" i="2"/>
  <c r="D18" i="2" s="1"/>
  <c r="G18" i="2" s="1"/>
  <c r="F94" i="2"/>
  <c r="D94" i="2" s="1"/>
  <c r="G94" i="2" s="1"/>
  <c r="F89" i="2"/>
  <c r="D89" i="2" s="1"/>
  <c r="G89" i="2" s="1"/>
  <c r="F81" i="2"/>
  <c r="D81" i="2" s="1"/>
  <c r="G81" i="2" s="1"/>
  <c r="F73" i="2"/>
  <c r="D73" i="2" s="1"/>
  <c r="G73" i="2" s="1"/>
  <c r="F65" i="2"/>
  <c r="D65" i="2" s="1"/>
  <c r="G65" i="2" s="1"/>
  <c r="F57" i="2"/>
  <c r="D57" i="2" s="1"/>
  <c r="G57" i="2" s="1"/>
  <c r="F49" i="2"/>
  <c r="D49" i="2" s="1"/>
  <c r="G49" i="2" s="1"/>
  <c r="F41" i="2"/>
  <c r="D41" i="2" s="1"/>
  <c r="G41" i="2" s="1"/>
  <c r="F33" i="2"/>
  <c r="D33" i="2" s="1"/>
  <c r="G33" i="2" s="1"/>
  <c r="F25" i="2"/>
  <c r="D25" i="2" s="1"/>
  <c r="G25" i="2" s="1"/>
  <c r="F19" i="2"/>
  <c r="D19" i="2" s="1"/>
  <c r="G19" i="2" s="1"/>
  <c r="F101" i="2"/>
  <c r="D101" i="2" s="1"/>
  <c r="G101" i="2" s="1"/>
  <c r="F95" i="2"/>
  <c r="D95" i="2" s="1"/>
  <c r="G95" i="2" s="1"/>
  <c r="F90" i="2"/>
  <c r="D90" i="2" s="1"/>
  <c r="G90" i="2" s="1"/>
  <c r="F20" i="2"/>
  <c r="D20" i="2" s="1"/>
  <c r="G20" i="2" s="1"/>
  <c r="F9" i="2"/>
  <c r="D9" i="2" s="1"/>
  <c r="G9" i="2" s="1"/>
  <c r="F203" i="2"/>
  <c r="D203" i="2" s="1"/>
  <c r="G203" i="2" s="1"/>
  <c r="F166" i="2"/>
  <c r="D166" i="2" s="1"/>
  <c r="G166" i="2" s="1"/>
  <c r="F164" i="2"/>
  <c r="D164" i="2" s="1"/>
  <c r="G164" i="2" s="1"/>
  <c r="F127" i="2"/>
  <c r="D127" i="2" s="1"/>
  <c r="G127" i="2" s="1"/>
  <c r="F111" i="2"/>
  <c r="D111" i="2" s="1"/>
  <c r="G111" i="2" s="1"/>
  <c r="F83" i="2"/>
  <c r="D83" i="2" s="1"/>
  <c r="G83" i="2" s="1"/>
  <c r="F82" i="2"/>
  <c r="D82" i="2" s="1"/>
  <c r="G82" i="2" s="1"/>
  <c r="F75" i="2"/>
  <c r="D75" i="2" s="1"/>
  <c r="G75" i="2" s="1"/>
  <c r="F74" i="2"/>
  <c r="D74" i="2" s="1"/>
  <c r="G74" i="2" s="1"/>
  <c r="F67" i="2"/>
  <c r="D67" i="2" s="1"/>
  <c r="G67" i="2" s="1"/>
  <c r="F66" i="2"/>
  <c r="D66" i="2" s="1"/>
  <c r="G66" i="2" s="1"/>
  <c r="F58" i="2"/>
  <c r="D58" i="2" s="1"/>
  <c r="G58" i="2" s="1"/>
  <c r="F244" i="2"/>
  <c r="D244" i="2" s="1"/>
  <c r="G244" i="2" s="1"/>
  <c r="F236" i="2"/>
  <c r="D236" i="2" s="1"/>
  <c r="G236" i="2" s="1"/>
  <c r="F228" i="2"/>
  <c r="D228" i="2" s="1"/>
  <c r="G228" i="2" s="1"/>
  <c r="F245" i="2"/>
  <c r="D245" i="2" s="1"/>
  <c r="G245" i="2" s="1"/>
  <c r="F237" i="2"/>
  <c r="D237" i="2" s="1"/>
  <c r="G237" i="2" s="1"/>
  <c r="F229" i="2"/>
  <c r="D229" i="2" s="1"/>
  <c r="G229" i="2" s="1"/>
  <c r="F216" i="2"/>
  <c r="D216" i="2" s="1"/>
  <c r="G216" i="2" s="1"/>
  <c r="F209" i="2"/>
  <c r="D209" i="2" s="1"/>
  <c r="G209" i="2" s="1"/>
  <c r="F194" i="2"/>
  <c r="D194" i="2" s="1"/>
  <c r="G194" i="2" s="1"/>
  <c r="F187" i="2"/>
  <c r="D187" i="2" s="1"/>
  <c r="G187" i="2" s="1"/>
  <c r="F184" i="2"/>
  <c r="D184" i="2" s="1"/>
  <c r="G184" i="2" s="1"/>
  <c r="F181" i="2"/>
  <c r="D181" i="2" s="1"/>
  <c r="G181" i="2" s="1"/>
  <c r="F168" i="2"/>
  <c r="D168" i="2" s="1"/>
  <c r="G168" i="2" s="1"/>
  <c r="F146" i="2"/>
  <c r="D146" i="2" s="1"/>
  <c r="G146" i="2" s="1"/>
  <c r="F139" i="2"/>
  <c r="D139" i="2" s="1"/>
  <c r="G139" i="2" s="1"/>
  <c r="F135" i="2"/>
  <c r="D135" i="2" s="1"/>
  <c r="G135" i="2" s="1"/>
  <c r="F134" i="2"/>
  <c r="D134" i="2" s="1"/>
  <c r="G134" i="2" s="1"/>
  <c r="F122" i="2"/>
  <c r="D122" i="2" s="1"/>
  <c r="G122" i="2" s="1"/>
  <c r="F93" i="2"/>
  <c r="D93" i="2" s="1"/>
  <c r="G93" i="2" s="1"/>
  <c r="F247" i="2"/>
  <c r="D247" i="2" s="1"/>
  <c r="G247" i="2" s="1"/>
  <c r="F239" i="2"/>
  <c r="D239" i="2" s="1"/>
  <c r="G239" i="2" s="1"/>
  <c r="F231" i="2"/>
  <c r="D231" i="2" s="1"/>
  <c r="G231" i="2" s="1"/>
  <c r="F224" i="2"/>
  <c r="D224" i="2" s="1"/>
  <c r="G224" i="2" s="1"/>
  <c r="F217" i="2"/>
  <c r="D217" i="2" s="1"/>
  <c r="G217" i="2" s="1"/>
  <c r="F211" i="2"/>
  <c r="D211" i="2" s="1"/>
  <c r="G211" i="2" s="1"/>
  <c r="F196" i="2"/>
  <c r="D196" i="2" s="1"/>
  <c r="G196" i="2" s="1"/>
  <c r="F195" i="2"/>
  <c r="D195" i="2" s="1"/>
  <c r="G195" i="2" s="1"/>
  <c r="F182" i="2"/>
  <c r="D182" i="2" s="1"/>
  <c r="G182" i="2" s="1"/>
  <c r="F159" i="2"/>
  <c r="D159" i="2" s="1"/>
  <c r="G159" i="2" s="1"/>
  <c r="F144" i="2"/>
  <c r="D144" i="2" s="1"/>
  <c r="G144" i="2" s="1"/>
  <c r="F136" i="2"/>
  <c r="D136" i="2" s="1"/>
  <c r="G136" i="2" s="1"/>
  <c r="F126" i="2"/>
  <c r="D126" i="2" s="1"/>
  <c r="G126" i="2" s="1"/>
  <c r="F88" i="2"/>
  <c r="D88" i="2" s="1"/>
  <c r="G88" i="2" s="1"/>
  <c r="F80" i="2"/>
  <c r="D80" i="2" s="1"/>
  <c r="G80" i="2" s="1"/>
  <c r="F72" i="2"/>
  <c r="D72" i="2" s="1"/>
  <c r="G72" i="2" s="1"/>
  <c r="F64" i="2"/>
  <c r="D64" i="2" s="1"/>
  <c r="G64" i="2" s="1"/>
  <c r="F56" i="2"/>
  <c r="D56" i="2" s="1"/>
  <c r="G56" i="2" s="1"/>
  <c r="F48" i="2"/>
  <c r="D48" i="2" s="1"/>
  <c r="G48" i="2" s="1"/>
  <c r="F40" i="2"/>
  <c r="D40" i="2" s="1"/>
  <c r="G40" i="2" s="1"/>
  <c r="F32" i="2"/>
  <c r="D32" i="2" s="1"/>
  <c r="G32" i="2" s="1"/>
  <c r="F24" i="2"/>
  <c r="D24" i="2" s="1"/>
  <c r="G24" i="2" s="1"/>
  <c r="F21" i="2"/>
  <c r="D21" i="2" s="1"/>
  <c r="G21" i="2" s="1"/>
  <c r="F10" i="2"/>
  <c r="D10" i="2" s="1"/>
  <c r="G10" i="2" s="1"/>
  <c r="F8" i="2"/>
  <c r="D8" i="2" s="1"/>
  <c r="G8" i="2" s="1"/>
  <c r="F5" i="2"/>
  <c r="D5" i="2" s="1"/>
  <c r="G5" i="2" s="1"/>
  <c r="F50" i="2"/>
  <c r="D50" i="2" s="1"/>
  <c r="G50" i="2" s="1"/>
  <c r="F43" i="2"/>
  <c r="D43" i="2" s="1"/>
  <c r="G43" i="2" s="1"/>
  <c r="F42" i="2"/>
  <c r="D42" i="2" s="1"/>
  <c r="G42" i="2" s="1"/>
  <c r="F35" i="2"/>
  <c r="D35" i="2" s="1"/>
  <c r="G35" i="2" s="1"/>
  <c r="F34" i="2"/>
  <c r="D34" i="2" s="1"/>
  <c r="G34" i="2" s="1"/>
  <c r="F27" i="2"/>
  <c r="D27" i="2" s="1"/>
  <c r="G27" i="2" s="1"/>
  <c r="F26" i="2"/>
  <c r="D26" i="2" s="1"/>
  <c r="G26" i="2" s="1"/>
  <c r="F15" i="2"/>
  <c r="D15" i="2" s="1"/>
  <c r="G15" i="2" s="1"/>
  <c r="F14" i="2"/>
  <c r="D14" i="2" s="1"/>
  <c r="G14" i="2" s="1"/>
  <c r="F223" i="2"/>
  <c r="D223" i="2" s="1"/>
  <c r="G223" i="2" s="1"/>
  <c r="F215" i="2"/>
  <c r="D215" i="2" s="1"/>
  <c r="G215" i="2" s="1"/>
  <c r="F206" i="2"/>
  <c r="D206" i="2" s="1"/>
  <c r="G206" i="2" s="1"/>
  <c r="F193" i="2"/>
  <c r="D193" i="2" s="1"/>
  <c r="G193" i="2" s="1"/>
  <c r="F190" i="2"/>
  <c r="D190" i="2" s="1"/>
  <c r="G190" i="2" s="1"/>
  <c r="F185" i="2"/>
  <c r="D185" i="2" s="1"/>
  <c r="G185" i="2" s="1"/>
  <c r="F174" i="2"/>
  <c r="D174" i="2" s="1"/>
  <c r="G174" i="2" s="1"/>
  <c r="F163" i="2"/>
  <c r="D163" i="2" s="1"/>
  <c r="G163" i="2" s="1"/>
  <c r="F155" i="2"/>
  <c r="D155" i="2" s="1"/>
  <c r="G155" i="2" s="1"/>
  <c r="F150" i="2"/>
  <c r="D150" i="2" s="1"/>
  <c r="G150" i="2" s="1"/>
  <c r="F143" i="2"/>
  <c r="D143" i="2" s="1"/>
  <c r="G143" i="2" s="1"/>
  <c r="F133" i="2"/>
  <c r="D133" i="2" s="1"/>
  <c r="G133" i="2" s="1"/>
  <c r="F129" i="2"/>
  <c r="D129" i="2" s="1"/>
  <c r="G129" i="2" s="1"/>
  <c r="F125" i="2"/>
  <c r="D125" i="2" s="1"/>
  <c r="G125" i="2" s="1"/>
  <c r="F121" i="2"/>
  <c r="D121" i="2" s="1"/>
  <c r="G121" i="2" s="1"/>
  <c r="F117" i="2"/>
  <c r="D117" i="2" s="1"/>
  <c r="G117" i="2" s="1"/>
  <c r="F113" i="2"/>
  <c r="D113" i="2" s="1"/>
  <c r="G113" i="2" s="1"/>
  <c r="F108" i="2"/>
  <c r="D108" i="2" s="1"/>
  <c r="G108" i="2" s="1"/>
  <c r="F98" i="2"/>
  <c r="D98" i="2" s="1"/>
  <c r="G98" i="2" s="1"/>
  <c r="F84" i="2"/>
  <c r="D84" i="2" s="1"/>
  <c r="G84" i="2" s="1"/>
  <c r="F76" i="2"/>
  <c r="D76" i="2" s="1"/>
  <c r="G76" i="2" s="1"/>
  <c r="F68" i="2"/>
  <c r="D68" i="2" s="1"/>
  <c r="G68" i="2" s="1"/>
  <c r="F60" i="2"/>
  <c r="D60" i="2" s="1"/>
  <c r="G60" i="2" s="1"/>
  <c r="F52" i="2"/>
  <c r="D52" i="2" s="1"/>
  <c r="G52" i="2" s="1"/>
  <c r="F44" i="2"/>
  <c r="D44" i="2" s="1"/>
  <c r="G44" i="2" s="1"/>
  <c r="F36" i="2"/>
  <c r="D36" i="2" s="1"/>
  <c r="G36" i="2" s="1"/>
  <c r="F28" i="2"/>
  <c r="D28" i="2" s="1"/>
  <c r="G28" i="2" s="1"/>
  <c r="F16" i="2"/>
  <c r="D16" i="2" s="1"/>
  <c r="G16" i="2" s="1"/>
  <c r="F13" i="2"/>
  <c r="D13" i="2" s="1"/>
  <c r="G13" i="2" s="1"/>
  <c r="F92" i="2"/>
  <c r="D92" i="2" s="1"/>
  <c r="G92" i="2" s="1"/>
  <c r="F100" i="2"/>
  <c r="D100" i="2" s="1"/>
  <c r="G100" i="2" s="1"/>
  <c r="C2" i="2"/>
  <c r="C3" i="2"/>
  <c r="B2" i="2"/>
  <c r="B3" i="2"/>
  <c r="A2" i="2"/>
  <c r="A3" i="2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2" i="7"/>
  <c r="D4" i="8" l="1"/>
  <c r="D7" i="1"/>
  <c r="M7" i="1" l="1"/>
  <c r="F7" i="1"/>
  <c r="N7" i="1" s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N3" i="5" l="1"/>
  <c r="N4" i="5"/>
  <c r="N2" i="5"/>
  <c r="E3" i="2" l="1"/>
  <c r="F3" i="2" l="1"/>
  <c r="H7" i="1"/>
  <c r="D3" i="2" l="1"/>
  <c r="G3" i="2" s="1"/>
  <c r="I7" i="1"/>
  <c r="J7" i="1" s="1"/>
  <c r="W15" i="2" l="1"/>
  <c r="J10" i="1" l="1"/>
  <c r="C10" i="1"/>
  <c r="B4" i="2" s="1"/>
  <c r="F4" i="2" s="1"/>
  <c r="D4" i="2" s="1"/>
  <c r="G4" i="2" s="1"/>
  <c r="P740" i="4" l="1"/>
  <c r="P505" i="4" l="1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5" i="4" l="1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106" i="4" l="1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96" i="4"/>
  <c r="P97" i="4"/>
  <c r="P98" i="4"/>
  <c r="P99" i="4"/>
  <c r="P100" i="4"/>
  <c r="P101" i="4"/>
  <c r="P102" i="4"/>
  <c r="P103" i="4"/>
  <c r="P104" i="4"/>
  <c r="P105" i="4"/>
  <c r="E2" i="2" l="1"/>
  <c r="W16" i="2"/>
  <c r="F2" i="2" l="1"/>
  <c r="D2" i="2" s="1"/>
  <c r="D10" i="1"/>
  <c r="G2" i="2" l="1"/>
</calcChain>
</file>

<file path=xl/sharedStrings.xml><?xml version="1.0" encoding="utf-8"?>
<sst xmlns="http://schemas.openxmlformats.org/spreadsheetml/2006/main" count="1655" uniqueCount="1147">
  <si>
    <t>Data</t>
  </si>
  <si>
    <t>Descrição</t>
  </si>
  <si>
    <t>Código (SKU)</t>
  </si>
  <si>
    <t>P 2002 - 0,50 - PISTÃO MOTOR VW EA111 1.6 8V FLEX G5 / G6 NEW FAMILY</t>
  </si>
  <si>
    <t>P 2002 - 0,50</t>
  </si>
  <si>
    <t>Separação</t>
  </si>
  <si>
    <t>Duplo Check</t>
  </si>
  <si>
    <t>Separações</t>
  </si>
  <si>
    <t>Assinatura</t>
  </si>
  <si>
    <t>Jogos</t>
  </si>
  <si>
    <t>Cliente:</t>
  </si>
  <si>
    <t>Nr. Pedido:</t>
  </si>
  <si>
    <t>Data Pedido:</t>
  </si>
  <si>
    <t>Data Envio para Expedição</t>
  </si>
  <si>
    <t>Volumes</t>
  </si>
  <si>
    <t>Qtd Peças</t>
  </si>
  <si>
    <t>Análise</t>
  </si>
  <si>
    <t>P 2123 - 0,50</t>
  </si>
  <si>
    <t>Aviso: Rodar a macro antes de salvar como</t>
  </si>
  <si>
    <t>Qtd</t>
  </si>
  <si>
    <t>Soma de Qtd</t>
  </si>
  <si>
    <t>Rótulos de Linha</t>
  </si>
  <si>
    <t>Total Geral</t>
  </si>
  <si>
    <t>Quantidades</t>
  </si>
  <si>
    <t>Atendimento</t>
  </si>
  <si>
    <t>Quantidade</t>
  </si>
  <si>
    <t>Cliente</t>
  </si>
  <si>
    <t>P 2052 - STD</t>
  </si>
  <si>
    <t>Estoque Virtual</t>
  </si>
  <si>
    <t>Produto</t>
  </si>
  <si>
    <t>Fornecedor Padrão</t>
  </si>
  <si>
    <t>Un</t>
  </si>
  <si>
    <t>Custo médio</t>
  </si>
  <si>
    <t>Entradas previstas</t>
  </si>
  <si>
    <t>Saídas previstas</t>
  </si>
  <si>
    <t>Estoque físico</t>
  </si>
  <si>
    <t>Estoque virtual</t>
  </si>
  <si>
    <t>Estoque mínimo</t>
  </si>
  <si>
    <t>Estoque máximo</t>
  </si>
  <si>
    <t>Saídas do período</t>
  </si>
  <si>
    <t>Média mensal</t>
  </si>
  <si>
    <t>Coberturas (meses)</t>
  </si>
  <si>
    <t>Comprar</t>
  </si>
  <si>
    <t>PÇ</t>
  </si>
  <si>
    <t>P 2000 - 0,50 - PISTÃO MOTOR VW 1.0 8V GASOLINA</t>
  </si>
  <si>
    <t>P 2000 - 0,50</t>
  </si>
  <si>
    <t>P 2000 - 1,00 - PISTÃO MOTOR VW 1.0 8V GASOLINA</t>
  </si>
  <si>
    <t>P 2000 - 1,00</t>
  </si>
  <si>
    <t>P 2000 - STD - PISTÃO MOTOR VW 1.0 8V GASOLINA</t>
  </si>
  <si>
    <t>P 2000 - STD</t>
  </si>
  <si>
    <t>P 2001 - 0,50 - PISTÃO MOTOR VW AT 1.0 16V GASOLINA</t>
  </si>
  <si>
    <t>P 2001 - 0,50</t>
  </si>
  <si>
    <t>P 2001 - 1,00 - PISTÃO MOTOR VW AT 1.0 16V GASOLINA</t>
  </si>
  <si>
    <t>P 2001 - 1,00</t>
  </si>
  <si>
    <t>P 2001 - STD - PISTÃO MOTOR VW AT 1.0 16V GASOLINA</t>
  </si>
  <si>
    <t>P 2001 - STD</t>
  </si>
  <si>
    <t>P 2002 - 1,00 - PISTÃO MOTOR VW EA111 1.6 8V FLEX G5 / G6 NEW FAMILY</t>
  </si>
  <si>
    <t>P 2002 - 1,00</t>
  </si>
  <si>
    <t>P 2002 - STD - PISTÃO MOTOR VW EA111 1.6 8V FLEX G5 / G6 NEW FAMILY</t>
  </si>
  <si>
    <t>P 2002 - STD</t>
  </si>
  <si>
    <t>P 2004 - 0,40 - PISTÃO MOTOR FIAT FIRE 1.0 8V FLEX (ECONOMY)</t>
  </si>
  <si>
    <t>P 2004 - 0,40</t>
  </si>
  <si>
    <t>P 2004 - 0,60 - PISTÃO MOTOR FIAT FIRE 1.0 8V FLEX (ECONOMY)</t>
  </si>
  <si>
    <t>P 2004 - 0,60</t>
  </si>
  <si>
    <t>P 2004 - STD - PISTÃO MOTOR FIAT FIRE 1.0 8V FLEX (ECONOMY)</t>
  </si>
  <si>
    <t>P 2004 - STD</t>
  </si>
  <si>
    <t>P 2005 - 0,40 - PISTÃO MOTOR FIAT FIASA 1500 ALCOOL</t>
  </si>
  <si>
    <t>P 2005 - 0,40</t>
  </si>
  <si>
    <t>P 2005 - 0,60 - PISTÃO MOTOR FIAT FIASA 1500 ALCOOL</t>
  </si>
  <si>
    <t>P 2005 - 0,60</t>
  </si>
  <si>
    <t>P 2005 - STD - PISTÃO MOTOR FIAT FIASA 1500 ALCOOL</t>
  </si>
  <si>
    <t>P 2005 - STD</t>
  </si>
  <si>
    <t>P 2006 - 0,50 - PISTÃO MOTOR GM 2.0 GASOLINA</t>
  </si>
  <si>
    <t>P 2006 - 0,50</t>
  </si>
  <si>
    <t>P 2006 - 1,00 - PISTÃO MOTOR GM 2.0 GASOLINA</t>
  </si>
  <si>
    <t>P 2006 - 1,00</t>
  </si>
  <si>
    <t>P 2006 - STD - PISTÃO MOTOR GM 2.0 GASOLINA</t>
  </si>
  <si>
    <t>P 2006 - STD</t>
  </si>
  <si>
    <t>P 2007 - 0,50 - PISTÃO MOTOR VW AP 1.6 MI FLEX</t>
  </si>
  <si>
    <t>P 2007 - 0,50</t>
  </si>
  <si>
    <t>P 2007 - 1,00 - PISTÃO MOTOR VW AP 1.6 MI FLEX</t>
  </si>
  <si>
    <t>P 2007 - 1,00</t>
  </si>
  <si>
    <t>P 2007 - STD - PISTÃO MOTOR VW AP 1.6 MI FLEX</t>
  </si>
  <si>
    <t>P 2007 - STD</t>
  </si>
  <si>
    <t>P 2008 - 0,50</t>
  </si>
  <si>
    <t>P 2008 - 1,00</t>
  </si>
  <si>
    <t>P 2008 - STD</t>
  </si>
  <si>
    <t>P 2009 - 0,50</t>
  </si>
  <si>
    <t>P 2009 - 1,00</t>
  </si>
  <si>
    <t>P 2009 - STD</t>
  </si>
  <si>
    <t>P 2010 - 0,50</t>
  </si>
  <si>
    <t>P 2010 - 1,00</t>
  </si>
  <si>
    <t>P 2010 - STD</t>
  </si>
  <si>
    <t>P 2011 - 0,50</t>
  </si>
  <si>
    <t>P 2011 - STD</t>
  </si>
  <si>
    <t>P 2012 - 0,50</t>
  </si>
  <si>
    <t>P 2012 - 1,00</t>
  </si>
  <si>
    <t>P 2012 - STD</t>
  </si>
  <si>
    <t>P 2013 - 0,50</t>
  </si>
  <si>
    <t>P 2013 - 1,00</t>
  </si>
  <si>
    <t>P 2013 - STD</t>
  </si>
  <si>
    <t>P 2014 - 0,50 - PISTÃO MOTOR VW AP 1600 GASOLINA</t>
  </si>
  <si>
    <t>P 2014 - 0,50</t>
  </si>
  <si>
    <t>P 2014 - 1,00 - PISTÃO MOTOR VW AP 1600 GASOLINA</t>
  </si>
  <si>
    <t>P 2014 - 1,00</t>
  </si>
  <si>
    <t>P 2014 - STD - PISTÃO MOTOR VW AP 1600 GASOLINA</t>
  </si>
  <si>
    <t>P 2014 - STD</t>
  </si>
  <si>
    <t>P 2015 - 0,50 - PISTÃO MOTOR FORD 1.6 CHT 8V GASOLINA</t>
  </si>
  <si>
    <t>P 2015 - 0,50</t>
  </si>
  <si>
    <t>P 2015 - 1,00 - PISTÃO MOTOR FORD 1.6 CHT 8V GASOLINA</t>
  </si>
  <si>
    <t>P 2015 - 1,00</t>
  </si>
  <si>
    <t>P 2015 - STD - PISTÃO MOTOR FORD 1.6 CHT 8V GASOLINA</t>
  </si>
  <si>
    <t>P 2015 - STD</t>
  </si>
  <si>
    <t>P 2016 - 0,50</t>
  </si>
  <si>
    <t>P 2016 - 1,00</t>
  </si>
  <si>
    <t>P 2016 - STD</t>
  </si>
  <si>
    <t>P 2017 - 0,50</t>
  </si>
  <si>
    <t>P 2017 - 1,00</t>
  </si>
  <si>
    <t>P 2017 - STD</t>
  </si>
  <si>
    <t>P 2018 - 0,50</t>
  </si>
  <si>
    <t>P 2018 - 1,00</t>
  </si>
  <si>
    <t>P 2018 - STD</t>
  </si>
  <si>
    <t>P 2019 - 0,50 - PISTÃO MOTOR VW AT 1.0 16V GASOLINA</t>
  </si>
  <si>
    <t>P 2019 - 0,50</t>
  </si>
  <si>
    <t>P 2019 - 1,00 - PISTÃO MOTOR VW AT 1.0 16V GASOLINA</t>
  </si>
  <si>
    <t>P 2019 - 1,00</t>
  </si>
  <si>
    <t>P 2019 - STD - PISTÃO MOTOR VW AT 1.0 16V GASOLINA</t>
  </si>
  <si>
    <t>P 2019 - STD</t>
  </si>
  <si>
    <t>P 2020 - 0,50 - PISTÃO MOTOR VW AT 1.0 8V GASOLINA</t>
  </si>
  <si>
    <t>P 2020 - 0,50</t>
  </si>
  <si>
    <t>P 2020 - 1,00 - PISTÃO MOTOR VW AT 1.0 8V GASOLINA</t>
  </si>
  <si>
    <t>P 2020 - 1,00</t>
  </si>
  <si>
    <t>P 2020 - STD - PISTÃO MOTOR VW AT 1.0 8V GASOLINA</t>
  </si>
  <si>
    <t>P 2020 - STD</t>
  </si>
  <si>
    <t>P 2021 - 0,50 - PISTÃO MOTOR FORD ZETEC ROCAM 1.0 8V GASOLINA (ANEL ESPECIAL LN7242)</t>
  </si>
  <si>
    <t>P 2021 - 0,50</t>
  </si>
  <si>
    <t>P 2021 - 1,00 - PISTÃO MOTOR FORD ZETEC ROCAM 1.0 8V GASOLINA (ANEL ESPECIAL LN7242)</t>
  </si>
  <si>
    <t>P 2021 - 1,00</t>
  </si>
  <si>
    <t>P 2021 - STD - PISTÃO MOTOR FORD ZETEC ROCAM 1.0 8V GASOLINA (ANEL ESPECIAL LN7242)</t>
  </si>
  <si>
    <t>P 2021 - STD</t>
  </si>
  <si>
    <t>P 2022 - 0,50</t>
  </si>
  <si>
    <t>P 2022 - 1,00</t>
  </si>
  <si>
    <t>P 2022 - STD</t>
  </si>
  <si>
    <t>P 2023 - 0,50</t>
  </si>
  <si>
    <t>P 2023 - 1,00</t>
  </si>
  <si>
    <t>P 2023 - STD</t>
  </si>
  <si>
    <t>P 2024 - 0,50 - PISTÃO MOTOR TOYOTA 1.8 16V 1ZZ GASOLINA</t>
  </si>
  <si>
    <t>P 2024 - 0,50</t>
  </si>
  <si>
    <t>P 2024 - 1,00 - PISTÃO MOTOR TOYOTA 1.8 16V 1ZZ GASOLINA</t>
  </si>
  <si>
    <t>P 2024 - 1,00</t>
  </si>
  <si>
    <t>P 2024 - STD - PISTÃO MOTOR TOYOTA 1.8 16V 1ZZ GASOLINA</t>
  </si>
  <si>
    <t>P 2024 - STD</t>
  </si>
  <si>
    <t>P 2026 - 0,40 - PISTÃO MOTOR FIAT EVOTEC 1.0 8V HPP FLEX (ANEL ESPECIAL TD7508) &lt;3.TRI 2011</t>
  </si>
  <si>
    <t>P 2026 - 0,40</t>
  </si>
  <si>
    <t>P 2026 - 0,60 - PISTÃO MOTOR FIAT EVOTEC 1.0 8V HPP FLEX (ANEL ESPECIAL TD7508) &lt;3.TRI 2011</t>
  </si>
  <si>
    <t>P 2026 - 0,60</t>
  </si>
  <si>
    <t>P 2026 - STD - PISTÃO MOTOR FIAT EVOTEC 1.0 8V HPP FLEX (ANEL ESPECIAL TD7508) &lt;3.TRI 2011</t>
  </si>
  <si>
    <t>P 2026 - STD</t>
  </si>
  <si>
    <t>P 2027 - 0,50 - PISTÃO MOTOR GM 2.4 8V GASOLINA</t>
  </si>
  <si>
    <t>P 2027 - 0,50</t>
  </si>
  <si>
    <t>P 2027 - 1,00 - PISTÃO MOTOR GM 2.4 8V GASOLINA</t>
  </si>
  <si>
    <t>P 2027 - 1,00</t>
  </si>
  <si>
    <t>P 2027 - STD - PISTÃO MOTOR GM 2.4 8V GASOLINA</t>
  </si>
  <si>
    <t>P 2027 - STD</t>
  </si>
  <si>
    <t>P 2028 - 0,50 - PISTÃO MOTOR PEUGEOT 1.6 16V TU5JP4 - GASOLINA / FLEX</t>
  </si>
  <si>
    <t>P 2028 - 0,50</t>
  </si>
  <si>
    <t>P 2028 - 1,00 - PISTÃO MOTOR PEUGEOT 1.6 16V TU5JP4 - GASOLINA / FLEX</t>
  </si>
  <si>
    <t>P 2028 - 1,00</t>
  </si>
  <si>
    <t>P 2028 - STD - PISTÃO MOTOR PEUGEOT 1.6 16V TU5JP4 - GASOLINA / FLEX</t>
  </si>
  <si>
    <t>P 2028 - STD</t>
  </si>
  <si>
    <t>P 2029 - 0,50 - PISTÃO MOTOR VW / FORD AP 1.8 GASOLINA</t>
  </si>
  <si>
    <t>P 2029 - 0,50</t>
  </si>
  <si>
    <t>P 2029 - 1,00 - PISTÃO MOTOR VW / FORD AP 1.8 GASOLINA</t>
  </si>
  <si>
    <t>P 2029 - 1,00</t>
  </si>
  <si>
    <t>P 2029 - STD - PISTÃO MOTOR VW / FORD AP 1.8 GASOLINA</t>
  </si>
  <si>
    <t>P 2029 - STD</t>
  </si>
  <si>
    <t>P 2030 - 0,50</t>
  </si>
  <si>
    <t>P 2030 - 1,00</t>
  </si>
  <si>
    <t>P 2030 - STD</t>
  </si>
  <si>
    <t>P 2031 - 0,50 - PISTÃO MOTOR VW AP 1600 ALCOOL</t>
  </si>
  <si>
    <t>P 2031 - 0,50</t>
  </si>
  <si>
    <t>P 2031 - 1,00 - PISTÃO MOTOR VW AP 1600 ALCOOL</t>
  </si>
  <si>
    <t>P 2031 - 1,00</t>
  </si>
  <si>
    <t>P 2031 - STD - PISTÃO MOTOR VW AP 1600 ALCOOL</t>
  </si>
  <si>
    <t>P 2031 - STD</t>
  </si>
  <si>
    <t>P 2032 - 0,40 - PISTÃO MOTOR FIAT FIASA 1.0 GASOLINA</t>
  </si>
  <si>
    <t>P 2032 - 0,40</t>
  </si>
  <si>
    <t>P 2032 - 0,60 - PISTÃO MOTOR FIAT FIASA 1.0 GASOLINA</t>
  </si>
  <si>
    <t>P 2032 - 0,60</t>
  </si>
  <si>
    <t>P 2032 - STD - PISTÃO MOTOR FIAT FIASA 1.0 GASOLINA</t>
  </si>
  <si>
    <t>P 2032 - STD</t>
  </si>
  <si>
    <t>P 2033 - 0,50</t>
  </si>
  <si>
    <t>P 2033 - 1,00</t>
  </si>
  <si>
    <t>P 2033 - STD</t>
  </si>
  <si>
    <t>P 2034 - 0,40 - PISTÃO MOTOR FIAT FIASA 1.5 MPI GASOLINA</t>
  </si>
  <si>
    <t>P 2034 - 0,40</t>
  </si>
  <si>
    <t>P 2034 - 0,60 - PISTÃO MOTOR FIAT FIASA 1.5 MPI GASOLINA</t>
  </si>
  <si>
    <t>P 2034 - 0,60</t>
  </si>
  <si>
    <t>P 2034 - STD - PISTÃO MOTOR FIAT FIASA 1.5 MPI GASOLINA</t>
  </si>
  <si>
    <t>P 2034 - STD</t>
  </si>
  <si>
    <t>P 2035 - 0,50 - PISTÃO MOTOR GM 1.0 8V EFI GASOLINA</t>
  </si>
  <si>
    <t>P 2035 - 0,50</t>
  </si>
  <si>
    <t>P 2035 - 1,00 - PISTÃO MOTOR GM 1.0 8V EFI GASOLINA</t>
  </si>
  <si>
    <t>P 2035 - 1,00</t>
  </si>
  <si>
    <t>P 2035 - STD - PISTÃO MOTOR GM 1.0 8V EFI GASOLINA</t>
  </si>
  <si>
    <t>P 2035 - STD</t>
  </si>
  <si>
    <t>P 2036 - 0,50</t>
  </si>
  <si>
    <t>P 2036 - 1,00</t>
  </si>
  <si>
    <t>P 2036 - STD</t>
  </si>
  <si>
    <t>P 2037 - 0,50 - PISTÃO MOTOR GM 2.4 8V FAMILIA II</t>
  </si>
  <si>
    <t>P 2037 - 0,50</t>
  </si>
  <si>
    <t>P 2037 - 1,00 - PISTÃO MOTOR GM 2.4 8V FAMILIA II</t>
  </si>
  <si>
    <t>P 2037 - 1,00</t>
  </si>
  <si>
    <t>P 2037 - STD - PISTÃO MOTOR GM 2.4 8V FAMILIA II</t>
  </si>
  <si>
    <t>P 2037 - STD</t>
  </si>
  <si>
    <t>P 2038 - 0,50</t>
  </si>
  <si>
    <t>P 2038 - 1,00</t>
  </si>
  <si>
    <t>P 2038 - STD</t>
  </si>
  <si>
    <t>P 2039 - 0,50</t>
  </si>
  <si>
    <t>P 2039 - 1,00</t>
  </si>
  <si>
    <t>P 2039 - STD</t>
  </si>
  <si>
    <t>P 2041 - 0,50 - PISTÃO MOTOR GM 1.0 8V MPFI GASOLINA</t>
  </si>
  <si>
    <t>P 2041 - 0,50</t>
  </si>
  <si>
    <t>P 2041 - 1,00 - PISTÃO MOTOR GM 1.0 8V MPFI GASOLINA</t>
  </si>
  <si>
    <t>P 2041 - 1,00</t>
  </si>
  <si>
    <t>P 2041 - STD - PISTÃO MOTOR GM 1.0 8V MPFI GASOLINA</t>
  </si>
  <si>
    <t>P 2041 - STD</t>
  </si>
  <si>
    <t>P 2042 - 0,50 - PISTÃO MOTOR GM 2.0 8V ALCOOL</t>
  </si>
  <si>
    <t>P 2042 - 0,50</t>
  </si>
  <si>
    <t>P 2042 - 1,00 - PISTÃO MOTOR GM 2.0 8V ALCOOL</t>
  </si>
  <si>
    <t>P 2042 - 1,00</t>
  </si>
  <si>
    <t>P 2042 - STD - PISTÃO MOTOR GM 2.0 8V ALCOOL</t>
  </si>
  <si>
    <t>P 2042 - STD</t>
  </si>
  <si>
    <t>P 2043 - 0,50 - PISTÃO MOTOR VW AP 1.6 MI ALCOOL</t>
  </si>
  <si>
    <t>P 2043 - 0,50</t>
  </si>
  <si>
    <t>P 2043 - 1,00 - PISTÃO MOTOR VW AP 1.6 MI ALCOOL</t>
  </si>
  <si>
    <t>P 2043 - 1,00</t>
  </si>
  <si>
    <t>P 2043 - STD - PISTÃO MOTOR VW AP 1.6 MI ALCOOL</t>
  </si>
  <si>
    <t>P 2043 - STD</t>
  </si>
  <si>
    <t>P 2044 - 0,40 - PISTÃO MOTOR FIAT 1.0 8V FIRE GASOLINA</t>
  </si>
  <si>
    <t>P 2044 - 0,40</t>
  </si>
  <si>
    <t>P 2044 - 0,60 - PISTÃO MOTOR FIAT 1.0 8V FIRE GASOLINA</t>
  </si>
  <si>
    <t>P 2044 - 0,60</t>
  </si>
  <si>
    <t>P 2044 - STD - PISTÃO MOTOR FIAT 1.0 8V FIRE GASOLINA</t>
  </si>
  <si>
    <t>P 2044 - STD</t>
  </si>
  <si>
    <t>P 2045 - 0,50 - PISTÃO MOTOR GM 2.4 8V FLEX NLEV - S10 / BLAZER 2012&gt;</t>
  </si>
  <si>
    <t>P 2045 - 0,50</t>
  </si>
  <si>
    <t>P 2045 - 1,00 - PISTÃO MOTOR GM 2.4 8V FLEX NLEV - S10 / BLAZER 2012&gt;</t>
  </si>
  <si>
    <t>P 2045 - 1,00</t>
  </si>
  <si>
    <t>P 2045 - STD - PISTÃO MOTOR GM 2.4 8V FLEX NLEV - S10 / BLAZER 2012&gt;</t>
  </si>
  <si>
    <t>P 2045 - STD</t>
  </si>
  <si>
    <t>P 2046 - 0,50 - PISTÃO MOTOR VW / FORD AP 1.8 ALCOOL</t>
  </si>
  <si>
    <t>P 2046 - 0,50</t>
  </si>
  <si>
    <t>P 2046 - 1,00 - PISTÃO MOTOR VW / FORD AP 1.8 ALCOOL</t>
  </si>
  <si>
    <t>P 2046 - 1,00</t>
  </si>
  <si>
    <t>P 2046 - STD - PISTÃO MOTOR VW / FORD AP 1.8 ALCOOL</t>
  </si>
  <si>
    <t>P 2046 - STD</t>
  </si>
  <si>
    <t>P 2047 - 0,50</t>
  </si>
  <si>
    <t>P 2047 - 1,00</t>
  </si>
  <si>
    <t>P 2047 - STD</t>
  </si>
  <si>
    <t>P 2048 - 0,50 - PISTÃO MOTOR VW AP 2.0 ALCOOL</t>
  </si>
  <si>
    <t>P 2048 - 0,50</t>
  </si>
  <si>
    <t>P 2048 - 1,00 - PISTÃO MOTOR VW AP 2.0 ALCOOL</t>
  </si>
  <si>
    <t>P 2048 - 1,00</t>
  </si>
  <si>
    <t>P 2048 - STD - PISTÃO MOTOR VW AP 2.0 ALCOOL</t>
  </si>
  <si>
    <t>P 2048 - STD</t>
  </si>
  <si>
    <t>P 2049 - 0,50 - PISTÃO MOTOR VW AP 1.6 MI GASOLINA / FLEX</t>
  </si>
  <si>
    <t>P 2049 - 0,50</t>
  </si>
  <si>
    <t>P 2049 - 1,00 - PISTÃO MOTOR VW AP 1.6 MI GASOLINA / FLEX</t>
  </si>
  <si>
    <t>P 2049 - 1,00</t>
  </si>
  <si>
    <t>P 2049 - STD - PISTÃO MOTOR VW AP 1.6 MI GASOLINA / FLEX</t>
  </si>
  <si>
    <t>P 2049 - STD</t>
  </si>
  <si>
    <t>P 2050 - 0,50 - PISTÃO MOTOR VW AP 1.8 MI GASOLINA</t>
  </si>
  <si>
    <t>P 2050 - 0,50</t>
  </si>
  <si>
    <t>P 2050 - 1,00 - PISTÃO MOTOR VW AP 1.8 MI GASOLINA</t>
  </si>
  <si>
    <t>P 2050 - 1,00</t>
  </si>
  <si>
    <t>P 2050 - STD - PISTÃO MOTOR VW AP 1.8 MI GASOLINA</t>
  </si>
  <si>
    <t>P 2050 - STD</t>
  </si>
  <si>
    <t>P 2051 - 0,50 - PISTÃO MOTOR VW AP 2.0 GASOLINA</t>
  </si>
  <si>
    <t>P 2051 - 0,50</t>
  </si>
  <si>
    <t>P 2051 - 1,00 - PISTÃO MOTOR VW AP 2.0 GASOLINA</t>
  </si>
  <si>
    <t>P 2051 - 1,00</t>
  </si>
  <si>
    <t>P 2051 - STD - PISTÃO MOTOR VW AP 2.0 GASOLINA</t>
  </si>
  <si>
    <t>P 2051 - STD</t>
  </si>
  <si>
    <t>P 2052 - 0,50 - PISTÃO MOTOR VW EA111 1.0 8V ALCOOL</t>
  </si>
  <si>
    <t>P 2052 - 0,50</t>
  </si>
  <si>
    <t>P 2052 - 1,00 - PISTÃO MOTOR VW EA111 1.0 8V ALCOOL</t>
  </si>
  <si>
    <t>P 2052 - 1,00</t>
  </si>
  <si>
    <t>P 2052 - STD - PISTÃO MOTOR VW EA111 1.0 8V ALCOOL</t>
  </si>
  <si>
    <t>P 2053 - 0,50 - PISTÃO MOTOR FIAT / GM 1.8 8V FLEX</t>
  </si>
  <si>
    <t>P 2053 - 0,50</t>
  </si>
  <si>
    <t>P 2053 - 1,00 - PISTÃO MOTOR FIAT / GM 1.8 8V FLEX</t>
  </si>
  <si>
    <t>P 2053 - 1,00</t>
  </si>
  <si>
    <t>P 2053 - STD - PISTÃO MOTOR FIAT / GM 1.8 8V FLEX</t>
  </si>
  <si>
    <t>P 2053 - STD</t>
  </si>
  <si>
    <t>P 2054 - 0,50 - PISTÃO MOTOR VW AP 1.8 MI GASOLINA (ANEL ESPECIAL DA6563)</t>
  </si>
  <si>
    <t>P 2054 - 0,50</t>
  </si>
  <si>
    <t>P 2054 - 1,00 - PISTÃO MOTOR VW AP 1.8 MI GASOLINA (ANEL ESPECIAL DA6563)</t>
  </si>
  <si>
    <t>P 2054 - 1,00</t>
  </si>
  <si>
    <t>P 2054 - STD - PISTÃO MOTOR VW AP 1.8 MI GASOLINA (ANEL ESPECIAL DA6563)</t>
  </si>
  <si>
    <t>P 2054 - STD</t>
  </si>
  <si>
    <t>P 2056 - 0,40 - PISTÃO MOTOR FIAT FIASA 1.5 E 201 1500</t>
  </si>
  <si>
    <t>P 2056 - 0,40</t>
  </si>
  <si>
    <t>P 2056 - 0,60 - PISTÃO MOTOR FIAT FIASA 1.5 E 201 1500</t>
  </si>
  <si>
    <t>P 2056 - 0,60</t>
  </si>
  <si>
    <t>P 2056 - STD - PISTÃO MOTOR FIAT FIASA 1.5 E 201 1500</t>
  </si>
  <si>
    <t>P 2056 - STD</t>
  </si>
  <si>
    <t>P 2057 - 0,50</t>
  </si>
  <si>
    <t>P 2057 - 1,00</t>
  </si>
  <si>
    <t>P 2057 - STD</t>
  </si>
  <si>
    <t>P 2058 - 0,50 - PISTÃO MOTOR VW AP 2.0 GASOLINA</t>
  </si>
  <si>
    <t>P 2058 - 0,50</t>
  </si>
  <si>
    <t>P 2058 - 1,00 - PISTÃO MOTOR VW AP 2.0 GASOLINA</t>
  </si>
  <si>
    <t>P 2058 - 1,00</t>
  </si>
  <si>
    <t>P 2058 - STD - PISTÃO MOTOR VW AP 2.0 GASOLINA</t>
  </si>
  <si>
    <t>P 2058 - STD</t>
  </si>
  <si>
    <t>P 2060 - 0,40 - PISTÃO MOTOR FIAT 1.0 16V FIRE GASOLINA</t>
  </si>
  <si>
    <t>P 2060 - 0,40</t>
  </si>
  <si>
    <t>P 2060 - 0,60 - PISTÃO MOTOR FIAT 1.0 16V FIRE GASOLINA</t>
  </si>
  <si>
    <t>P 2060 - 0,60</t>
  </si>
  <si>
    <t>P 2060 - STD - PISTÃO MOTOR FIAT 1.0 16V FIRE GASOLINA</t>
  </si>
  <si>
    <t>P 2060 - STD</t>
  </si>
  <si>
    <t>P 2061 - 0,40</t>
  </si>
  <si>
    <t>P 2061 - 0,60</t>
  </si>
  <si>
    <t>P 2061 - STD</t>
  </si>
  <si>
    <t>P 2062 - 0,40</t>
  </si>
  <si>
    <t>P 2062 - 0,60</t>
  </si>
  <si>
    <t>P 2062 - STD</t>
  </si>
  <si>
    <t>P 2063 - 0,50</t>
  </si>
  <si>
    <t>P 2063 - 1,00</t>
  </si>
  <si>
    <t>P 2063 - STD</t>
  </si>
  <si>
    <t>P 2064 - 0,50 - PISTÃO MOTOR VW EA 111 RSH 1.0 8V BNW FLEX</t>
  </si>
  <si>
    <t>P 2064 - 0,50</t>
  </si>
  <si>
    <t>P 2064 - 1,00 - PISTÃO MOTOR VW EA 111 RSH 1.0 8V BNW FLEX</t>
  </si>
  <si>
    <t>P 2064 - 1,00</t>
  </si>
  <si>
    <t>P 2064 - STD - PISTÃO MOTOR VW EA 111 RSH 1.0 8V BNW FLEX</t>
  </si>
  <si>
    <t>P 2064 - STD</t>
  </si>
  <si>
    <t>P 2065 - 0,50 - PISTÃO MOTOR GM 2.2 8V EFI MPFI GASOLINA</t>
  </si>
  <si>
    <t>P 2065 - 0,50</t>
  </si>
  <si>
    <t>P 2065 - 1,00 - PISTÃO MOTOR GM 2.2 8V EFI MPFI GASOLINA</t>
  </si>
  <si>
    <t>P 2065 - 1,00</t>
  </si>
  <si>
    <t>P 2065 - STD - PISTÃO MOTOR GM 2.2 8V EFI MPFI GASOLINA</t>
  </si>
  <si>
    <t>P 2065 - STD</t>
  </si>
  <si>
    <t>P 2066 - 0,50</t>
  </si>
  <si>
    <t>P 2066 - 1,00</t>
  </si>
  <si>
    <t>P 2066 - STD</t>
  </si>
  <si>
    <t>P 2067 - 0,50 - PISTÃO MOTOR FORD CHT 1.6 8V ALCOOL</t>
  </si>
  <si>
    <t>P 2067 - 0,50</t>
  </si>
  <si>
    <t>P 2067 - 1,00 - PISTÃO MOTOR FORD CHT 1.6 8V ALCOOL</t>
  </si>
  <si>
    <t>P 2067 - 1,00</t>
  </si>
  <si>
    <t>P 2067 - STD - PISTÃO MOTOR FORD CHT 1.6 8V ALCOOL</t>
  </si>
  <si>
    <t>P 2067 - STD</t>
  </si>
  <si>
    <t>P 2068 - 0,50 - PISTÃO MOTOR RENAULT 1.0 SCE 12V FLEX 3 CIL</t>
  </si>
  <si>
    <t>P 2068 - 1,00 - PISTÃO MOTOR RENAULT 1.0 SCE 12V FLEX 3 CIL</t>
  </si>
  <si>
    <t>P 2068 - STD - PISTÃO MOTOR RENAULT 1.0 SCE 12V FLEX 3 CIL</t>
  </si>
  <si>
    <t>P 2069 - 0,50 - PISTÃO MOTOR VW AP 1.8 TOTAL FLEX</t>
  </si>
  <si>
    <t>P 2069 - 0,50</t>
  </si>
  <si>
    <t>P 2069 - 1,00 - PISTÃO MOTOR VW AP 1.8 TOTAL FLEX</t>
  </si>
  <si>
    <t>P 2069 - 1,00</t>
  </si>
  <si>
    <t>P 2069 - STD - PISTÃO MOTOR VW AP 1.8 TOTAL FLEX</t>
  </si>
  <si>
    <t>P 2069 - STD</t>
  </si>
  <si>
    <t>P 2070 - 0,50</t>
  </si>
  <si>
    <t>P 2070 - 1,00</t>
  </si>
  <si>
    <t>P 2070 - STD</t>
  </si>
  <si>
    <t>P 2071 - 0,50</t>
  </si>
  <si>
    <t>P 2071 - 1,00</t>
  </si>
  <si>
    <t>P 2071 - STD</t>
  </si>
  <si>
    <t>P 2072 - 0,50 - PISTÃO MOTOR HYUNDAI / KIA 1.6 16V FLEX G4FC (ANEL ESPECIAL DA6973)</t>
  </si>
  <si>
    <t>P 2072 - 0,50</t>
  </si>
  <si>
    <t>P 2072 - 1,00 - PISTÃO MOTOR HYUNDAI / KIA 1.6 16V FLEX G4FC (ANEL ESPECIAL DA6973)</t>
  </si>
  <si>
    <t>P 2072 - 1,00</t>
  </si>
  <si>
    <t>P 2072 - STD - PISTÃO MOTOR HYUNDAI / KIA 1.6 16V FLEX G4FC (ANEL ESPECIAL DA6973)</t>
  </si>
  <si>
    <t>P 2072 - STD</t>
  </si>
  <si>
    <t>P 2074 - 0,50</t>
  </si>
  <si>
    <t>P 2074 - 1,00</t>
  </si>
  <si>
    <t>P 2074 - STD</t>
  </si>
  <si>
    <t>P 2075 - 0,40</t>
  </si>
  <si>
    <t>P 2075 - 0,60</t>
  </si>
  <si>
    <t>P 2075 - STD</t>
  </si>
  <si>
    <t>P 2076 - 0,40 - PISTÃO MOTOR FIAT FIRE 1.0 8V FLEX</t>
  </si>
  <si>
    <t>P 2076 - 0,40</t>
  </si>
  <si>
    <t>P 2076 - 0,60 - PISTÃO MOTOR FIAT FIRE 1.0 8V FLEX</t>
  </si>
  <si>
    <t>P 2076 - 0,60</t>
  </si>
  <si>
    <t>P 2076 - STD - PISTÃO MOTOR FIAT FIRE 1.0 8V FLEX</t>
  </si>
  <si>
    <t>P 2076 - STD</t>
  </si>
  <si>
    <t>P 2077 - 0,40</t>
  </si>
  <si>
    <t>P 2077 - 0,60</t>
  </si>
  <si>
    <t>P 2077 - STD</t>
  </si>
  <si>
    <t>P 2078 - 0,50</t>
  </si>
  <si>
    <t>P 2078 - 1,00</t>
  </si>
  <si>
    <t>P 2078 - STD</t>
  </si>
  <si>
    <t>P 2079 - 0,50 - PISTÃO MOTOR FORD 1.0 8V ZETEC ROCAM GASOLINA</t>
  </si>
  <si>
    <t>P 2079 - 0,50</t>
  </si>
  <si>
    <t>P 2079 - 1,00 - PISTÃO MOTOR FORD 1.0 8V ZETEC ROCAM GASOLINA</t>
  </si>
  <si>
    <t>P 2079 - 1,00</t>
  </si>
  <si>
    <t>P 2079 - STD - PISTÃO MOTOR FORD 1.0 8V ZETEC ROCAM GASOLINA</t>
  </si>
  <si>
    <t>P 2079 - STD</t>
  </si>
  <si>
    <t>P 2080 - 0,40</t>
  </si>
  <si>
    <t>P 2080 - 0,60</t>
  </si>
  <si>
    <t>P 2080 - STD</t>
  </si>
  <si>
    <t>P 2081 - 0,40</t>
  </si>
  <si>
    <t>P 2081 - 0,60</t>
  </si>
  <si>
    <t>P 2081 - STD</t>
  </si>
  <si>
    <t>P 2083 - 0,40 - PISTÃO MOTOR FIAT FIASA 1.0 MPI 8V GASOLINA</t>
  </si>
  <si>
    <t>P 2083 - 0,40</t>
  </si>
  <si>
    <t>P 2083 - 0,60 - PISTÃO MOTOR FIAT FIASA 1.0 MPI 8V GASOLINA</t>
  </si>
  <si>
    <t>P 2083 - 0,60</t>
  </si>
  <si>
    <t>P 2083 - STD - PISTÃO MOTOR FIAT FIASA 1.0 MPI 8V GASOLINA</t>
  </si>
  <si>
    <t>P 2083 - STD</t>
  </si>
  <si>
    <t>P 2084 - 0,50</t>
  </si>
  <si>
    <t>P 2084 - 1,00</t>
  </si>
  <si>
    <t>P 2084 - STD</t>
  </si>
  <si>
    <t>P 2086 - 0,50</t>
  </si>
  <si>
    <t>P 2086 - 1,00</t>
  </si>
  <si>
    <t>P 2086 - STD</t>
  </si>
  <si>
    <t>P 2087 - 0,50 - PISTÃO MOTOR FORD 1.0 8V ZETEC ROCAM FLEX</t>
  </si>
  <si>
    <t>P 2087 - 0,50</t>
  </si>
  <si>
    <t>P 2087 - 1,00 - PISTÃO MOTOR FORD 1.0 8V ZETEC ROCAM FLEX</t>
  </si>
  <si>
    <t>P 2087 - 1,00</t>
  </si>
  <si>
    <t>P 2087 - STD - PISTÃO MOTOR FORD 1.0 8V ZETEC ROCAM FLEX</t>
  </si>
  <si>
    <t>P 2087 - STD</t>
  </si>
  <si>
    <t>P 2088 - 0,50</t>
  </si>
  <si>
    <t>P 2088 - 1,00</t>
  </si>
  <si>
    <t>P 2088 - STD</t>
  </si>
  <si>
    <t>P 2089 - 0,50</t>
  </si>
  <si>
    <t>P 2089 - 1,00</t>
  </si>
  <si>
    <t>P 2089 - STD</t>
  </si>
  <si>
    <t>P 2090 - 0,50</t>
  </si>
  <si>
    <t>P 2090 - 1,00</t>
  </si>
  <si>
    <t>P 2090 - STD</t>
  </si>
  <si>
    <t>P 2092 - 0,50</t>
  </si>
  <si>
    <t>P 2092 - 1,00</t>
  </si>
  <si>
    <t>P 2092 - STD</t>
  </si>
  <si>
    <t>P 2093 - 0,40</t>
  </si>
  <si>
    <t>P 2093 - 0,60</t>
  </si>
  <si>
    <t>P 2093 - STD</t>
  </si>
  <si>
    <t>P 2094 - 0,50 - PISTÃO MOTOR VW EA 111 1.6 8V GASOLINA / FLEX 2001&gt;</t>
  </si>
  <si>
    <t>P 2094 - 0,50</t>
  </si>
  <si>
    <t>P 2094 - 1,00 - PISTÃO MOTOR VW EA 111 1.6 8V GASOLINA / FLEX 2001&gt;</t>
  </si>
  <si>
    <t>P 2094 - 1,00</t>
  </si>
  <si>
    <t>P 2094 - STD - PISTÃO MOTOR VW EA 111 1.6 8V GASOLINA / FLEX 2001&gt;</t>
  </si>
  <si>
    <t>P 2094 - STD</t>
  </si>
  <si>
    <t>P 2095 - 0,50 - PISTÃO MOTOR VW EA 111 1.4 8V FLEX</t>
  </si>
  <si>
    <t>P 2095 - 0,50</t>
  </si>
  <si>
    <t>P 2095 - 1,00 - PISTÃO MOTOR VW EA 111 1.4 8V FLEX</t>
  </si>
  <si>
    <t>P 2095 - 1,00</t>
  </si>
  <si>
    <t>P 2095 - STD - PISTÃO MOTOR VW EA 111 1.4 8V FLEX</t>
  </si>
  <si>
    <t>P 2095 - STD</t>
  </si>
  <si>
    <t>P 2096 - 0,50 - PISTÃO MOTOR FIAT / GM 1.8 8V GASOLINA</t>
  </si>
  <si>
    <t>P 2096 - 0,50</t>
  </si>
  <si>
    <t>P 2096 - 1,00 - PISTÃO MOTOR FIAT / GM 1.8 8V GASOLINA</t>
  </si>
  <si>
    <t>P 2096 - 1,00</t>
  </si>
  <si>
    <t>P 2096 - STD - PISTÃO MOTOR FIAT / GM 1.8 8V GASOLINA</t>
  </si>
  <si>
    <t>P 2096 - STD</t>
  </si>
  <si>
    <t>P 2097 - 0,50</t>
  </si>
  <si>
    <t>P 2097 - 1,00</t>
  </si>
  <si>
    <t>P 2097 - STD</t>
  </si>
  <si>
    <t>P 2098 - 0,50</t>
  </si>
  <si>
    <t>P 2098 - 1,00</t>
  </si>
  <si>
    <t>P 2098 - STD</t>
  </si>
  <si>
    <t>P 2099 - 0,50</t>
  </si>
  <si>
    <t>P 2099 - 1,00</t>
  </si>
  <si>
    <t>P 2099 - STD</t>
  </si>
  <si>
    <t>P 2100 - 0,50 - PISTÃO MOTOR GM 1.0 8V VHC GAS / SOHC FLEX / MPFI ALCOOL (ANÉL ESPECIAL DA7092)</t>
  </si>
  <si>
    <t>P 2100 - 0,50</t>
  </si>
  <si>
    <t>P 2100 - 1,00 - PISTÃO MOTOR GM 1.0 8V VHC GAS / SOHC FLEX / MPFI ALCOOL (ANÉL ESPECIAL DA7092)</t>
  </si>
  <si>
    <t>P 2100 - 1,00</t>
  </si>
  <si>
    <t>P 2100 - STD - PISTÃO MOTOR GM 1.0 8V VHC GAS / SOHC FLEX / MPFI ALCOOL (ANÉL ESPECIAL DA7092)</t>
  </si>
  <si>
    <t>P 2100 - STD</t>
  </si>
  <si>
    <t>P 2101 - 0,50</t>
  </si>
  <si>
    <t>P 2101 - 1,00</t>
  </si>
  <si>
    <t>P 2101 - STD</t>
  </si>
  <si>
    <t>P 2105 - 0,50 - PISTÃO MOTOR FIAT 1.8 16V FAMILIA I GASOLINA</t>
  </si>
  <si>
    <t>P 2105 - 0,50</t>
  </si>
  <si>
    <t>P 2105 - 1,00 - PISTÃO MOTOR FIAT 1.8 16V FAMILIA I GASOLINA</t>
  </si>
  <si>
    <t>P 2105 - 1,00</t>
  </si>
  <si>
    <t>P 2105 - STD - PISTÃO MOTOR FIAT 1.8 16V FAMILIA I GASOLINA</t>
  </si>
  <si>
    <t>P 2105 - STD</t>
  </si>
  <si>
    <t>P 2107 - 0,50 - PISTÃO MOTOR GM 2.2 16V GASOLINA 1998&gt;</t>
  </si>
  <si>
    <t>P 2107 - 0,50</t>
  </si>
  <si>
    <t>P 2107 - 1,00 - PISTÃO MOTOR GM 2.2 16V GASOLINA 1998&gt;</t>
  </si>
  <si>
    <t>P 2107 - 1,00</t>
  </si>
  <si>
    <t>P 2107 - STD - PISTÃO MOTOR GM 2.2 16V GASOLINA 1998&gt;</t>
  </si>
  <si>
    <t>P 2107 - STD</t>
  </si>
  <si>
    <t>P 2109 - 0,50 - PISTÃO MOTOR FORD 2.0 16V DURATEC GASOLINA (MONDEO)</t>
  </si>
  <si>
    <t>P 2109 - 0,50</t>
  </si>
  <si>
    <t>P 2109 - 1,00 - PISTÃO MOTOR FORD 2.0 16V DURATEC GASOLINA (MONDEO)</t>
  </si>
  <si>
    <t>P 2109 - 1,00</t>
  </si>
  <si>
    <t>P 2109 - STD - PISTÃO MOTOR FORD 2.0 16V DURATEC GASOLINA (MONDEO)</t>
  </si>
  <si>
    <t>P 2109 - STD</t>
  </si>
  <si>
    <t>P 2110 - 0,50 - PISTÃO MOTOR FORD 2.0 16V ZETEC ROCAM GASOLINA</t>
  </si>
  <si>
    <t>P 2110 - 0,50</t>
  </si>
  <si>
    <t>P 2110 - 1,00 - PISTÃO MOTOR FORD 2.0 16V ZETEC ROCAM GASOLINA</t>
  </si>
  <si>
    <t>P 2110 - 1,00</t>
  </si>
  <si>
    <t>P 2110 - STD - PISTÃO MOTOR FORD 2.0 16V ZETEC ROCAM GASOLINA</t>
  </si>
  <si>
    <t>P 2110 - STD</t>
  </si>
  <si>
    <t>P 2111 - 0,50</t>
  </si>
  <si>
    <t>P 2111 - 1,00</t>
  </si>
  <si>
    <t>P 2111 - STD</t>
  </si>
  <si>
    <t>P 2112 - 0,50</t>
  </si>
  <si>
    <t>P 2112 - 1,00</t>
  </si>
  <si>
    <t>P 2112 - STD</t>
  </si>
  <si>
    <t>P 2113 - 0,50</t>
  </si>
  <si>
    <t>P 2113 - 1,00</t>
  </si>
  <si>
    <t>P 2113 - STD</t>
  </si>
  <si>
    <t>P 2118 - 0,50</t>
  </si>
  <si>
    <t>P 2118 - 1,00</t>
  </si>
  <si>
    <t>P 2118 - STD</t>
  </si>
  <si>
    <t>P 2119 - 0,50 - PISTÃO MOTOR FORD 2.0 16V DURATEC GASOLINA (ECOSPORT / MONDEO)</t>
  </si>
  <si>
    <t>P 2119 - 0,50</t>
  </si>
  <si>
    <t>P 2119 - 1,00 - PISTÃO MOTOR FORD 2.0 16V DURATEC GASOLINA (ECOSPORT / MONDEO)</t>
  </si>
  <si>
    <t>P 2119 - 1,00</t>
  </si>
  <si>
    <t>P 2119 - STD - PISTÃO MOTOR FORD 2.0 16V DURATEC GASOLINA (ECOSPORT / MONDEO)</t>
  </si>
  <si>
    <t>P 2119 - STD</t>
  </si>
  <si>
    <t>P 2123 - 1,00</t>
  </si>
  <si>
    <t>P 2123 - STD</t>
  </si>
  <si>
    <t>P 2125 - 0,50</t>
  </si>
  <si>
    <t>P 2125 - 1,00</t>
  </si>
  <si>
    <t>P 2125 - STD</t>
  </si>
  <si>
    <t>P 2127 - 0,40</t>
  </si>
  <si>
    <t>P 2127 - 0,60</t>
  </si>
  <si>
    <t>P 2127 - STD</t>
  </si>
  <si>
    <t>P 2128 - 0,50</t>
  </si>
  <si>
    <t>P 2128 - 1,00</t>
  </si>
  <si>
    <t>P 2128 - STD</t>
  </si>
  <si>
    <t>P 2130 - 0,50 - PISTÃO MOTOR HONDA 1.4 8V GASOLINA</t>
  </si>
  <si>
    <t>P 2130 - 0,50</t>
  </si>
  <si>
    <t>P 2130 - 1,00 - PISTÃO MOTOR HONDA 1.4 8V GASOLINA</t>
  </si>
  <si>
    <t>P 2130 - 1,00</t>
  </si>
  <si>
    <t>P 2130 - STD - PISTÃO MOTOR HONDA 1.4 8V GASOLINA</t>
  </si>
  <si>
    <t>P 2130 - STD</t>
  </si>
  <si>
    <t>P 2132 - 0,40</t>
  </si>
  <si>
    <t>P 2132 - 0,60</t>
  </si>
  <si>
    <t>P 2132 - STD</t>
  </si>
  <si>
    <t>P 2134 - 0,50 - PISTÃO MOTOR VW EA211 CSEZ DOHC 1.0 12V FLEX -UP</t>
  </si>
  <si>
    <t>P 2134 - 0,50</t>
  </si>
  <si>
    <t>P 2134 - 1,00 - PISTÃO MOTOR VW EA211 CSEZ DOHC 1.0 12V FLEX -UP</t>
  </si>
  <si>
    <t>P 2134 - 1,00</t>
  </si>
  <si>
    <t>P 2134 - STD - PISTÃO MOTOR VW EA211 CSEZ DOHC 1.0 12V FLEX -UP</t>
  </si>
  <si>
    <t>P 2134 - STD</t>
  </si>
  <si>
    <t>P 2135 - 0,50</t>
  </si>
  <si>
    <t>P 2135 - 1,00</t>
  </si>
  <si>
    <t>P 2135 - STD</t>
  </si>
  <si>
    <t>P 2136 - 0,40</t>
  </si>
  <si>
    <t>P 2136 - 0,60</t>
  </si>
  <si>
    <t>P 2136 - STD</t>
  </si>
  <si>
    <t>P 2137 - 0,50 - PISTÃO MOTOR GM 1.8 8V ECONOFLEX</t>
  </si>
  <si>
    <t>P 2137 - 0,50</t>
  </si>
  <si>
    <t>P 2137 - 1,00 - PISTÃO MOTOR GM 1.8 8V ECONOFLEX</t>
  </si>
  <si>
    <t>P 2137 - 1,00</t>
  </si>
  <si>
    <t>P 2137 - STD - PISTÃO MOTOR GM 1.8 8V ECONOFLEX</t>
  </si>
  <si>
    <t>P 2137 - STD</t>
  </si>
  <si>
    <t>P 2138 - 0,50 - PISTÃO MOTOR CITROEN / PEUGEOT 2.0L 16V (VTS) GAS XU10J4RS</t>
  </si>
  <si>
    <t>P 2138 - 0,50</t>
  </si>
  <si>
    <t>P 2138 - 1,00 - PISTÃO MOTOR CITROEN / PEUGEOT 2.0L 16V (VTS) GAS XU10J4RS</t>
  </si>
  <si>
    <t>P 2138 - 1,00</t>
  </si>
  <si>
    <t>P 2138 - STD - PISTÃO MOTOR CITROEN / PEUGEOT 2.0L 16V (VTS) GAS XU10J4RS</t>
  </si>
  <si>
    <t>P 2138 - STD</t>
  </si>
  <si>
    <t>P 2139 - 0,40</t>
  </si>
  <si>
    <t>P 2139 - 0,60</t>
  </si>
  <si>
    <t>P 2139 - STD</t>
  </si>
  <si>
    <t>P 2140 - 0,50</t>
  </si>
  <si>
    <t>P 2140 - 1,00</t>
  </si>
  <si>
    <t>P 2140 - STD</t>
  </si>
  <si>
    <t>P 2143 - 0,50 - PISTÃO MOTOR GM 2.4 16V FLEX (X24SFD) FAMILIA II</t>
  </si>
  <si>
    <t>P 2143 - 0,50</t>
  </si>
  <si>
    <t>P 2143 - 1,00 - PISTÃO MOTOR GM 2.4 16V FLEX (X24SFD) FAMILIA II</t>
  </si>
  <si>
    <t>P 2143 - 1,00</t>
  </si>
  <si>
    <t>P 2143 - STD - PISTÃO MOTOR GM 2.4 16V FLEX (X24SFD) FAMILIA II</t>
  </si>
  <si>
    <t>P 2143 - STD</t>
  </si>
  <si>
    <t>P 2144 - 0,50 - PISTÃO MOTOR GM 1.8 16V ECOTEC6 FLEX N18XFF (ANEL ESPECIAL TA7268)</t>
  </si>
  <si>
    <t>P 2144 - 0,50</t>
  </si>
  <si>
    <t>P 2144 - 1,00 - PISTÃO MOTOR GM 1.8 16V ECOTEC6 FLEX N18XFF (ANEL ESPECIAL TA7268)</t>
  </si>
  <si>
    <t>P 2144 - 1,00</t>
  </si>
  <si>
    <t>P 2144 - STD - PISTÃO MOTOR GM 1.8 16V ECOTEC6 FLEX N18XFF (ANEL ESPECIAL TA7268)</t>
  </si>
  <si>
    <t>P 2144 - STD</t>
  </si>
  <si>
    <t>P 2145 - 0,50</t>
  </si>
  <si>
    <t>P 2145 - 1,00</t>
  </si>
  <si>
    <t>P 2145 - STD</t>
  </si>
  <si>
    <t>P 2147 - 0,50</t>
  </si>
  <si>
    <t>P 2147 - 1,00</t>
  </si>
  <si>
    <t>P 2147 - STD</t>
  </si>
  <si>
    <t>P 2150 - 0,50</t>
  </si>
  <si>
    <t>P 2150 - STD</t>
  </si>
  <si>
    <t>P 2151 - 0,50 - PISTÃO MOTOR 1.0 FLEX 3C FORD KA</t>
  </si>
  <si>
    <t>P 2151 - 1,00 - PISTÃO MOTOR 1.0 FLEX 3C FORD KA</t>
  </si>
  <si>
    <t>P 2151 - STD - PISTÃO MOTOR 1.0 FLEX 3C FORD KA</t>
  </si>
  <si>
    <t>P 2161 - 0,50</t>
  </si>
  <si>
    <t>P 2161 - 1,00</t>
  </si>
  <si>
    <t>P 2161 - STD</t>
  </si>
  <si>
    <t>P 2172 - 0,50 - PISTÃO MOTOR HYUNDAI / KIA 1.6 16V FLEX G4FC</t>
  </si>
  <si>
    <t>P 2172 - 0,50</t>
  </si>
  <si>
    <t>P 2172 - 1,00 - PISTÃO MOTOR HYUNDAI / KIA 1.6 16V FLEX G4FC</t>
  </si>
  <si>
    <t>P 2172 - 1,00</t>
  </si>
  <si>
    <t>P 2172 - STD - PISTÃO MOTOR HYUNDAI / KIA 1.6 16V FLEX G4FC</t>
  </si>
  <si>
    <t>P 2172 - STD</t>
  </si>
  <si>
    <t>P 2174 - 0,50</t>
  </si>
  <si>
    <t>P 2174 - 1,00</t>
  </si>
  <si>
    <t>P 2174 - STD</t>
  </si>
  <si>
    <t>P 2191 - 0,50</t>
  </si>
  <si>
    <t>P 2191 - 1,00</t>
  </si>
  <si>
    <t>P 2191 - STD</t>
  </si>
  <si>
    <t>PK 001 - PINO PISTÃO DIAM 17,00 X 45,00MM (15259)</t>
  </si>
  <si>
    <t>PK 001</t>
  </si>
  <si>
    <t>PK 002 - PINO PISTÃO DIAM 17,97 X 53,60MM (15307)</t>
  </si>
  <si>
    <t>PK 002</t>
  </si>
  <si>
    <t>PK 003 - PINO PISTÃO DIAM 18,00 X 50,00MM (15308)</t>
  </si>
  <si>
    <t>PK 003</t>
  </si>
  <si>
    <t>PK 004 - PINO PISTÃO DIAM 18,03 X 59,00MM (15276)</t>
  </si>
  <si>
    <t>PK 004</t>
  </si>
  <si>
    <t>PK 005 - PINO PISTÃO DIAM 20,00 X 57,00MM (15289)</t>
  </si>
  <si>
    <t>PK 005</t>
  </si>
  <si>
    <t>PK 006 - PINO PISTÃO DIAM 21,00 X 61,50MM (15182)</t>
  </si>
  <si>
    <t>PK 006</t>
  </si>
  <si>
    <t>PK 007 - PINO PISTÃO DIAM 22,00 X 55,00MM (15258)</t>
  </si>
  <si>
    <t>PK 007</t>
  </si>
  <si>
    <t>PK 008 - PINO PISTÃO DIAM 22,00 X 67,00MM (15318)</t>
  </si>
  <si>
    <t>PK 008</t>
  </si>
  <si>
    <t>PK 009 - PINO PISTÃO DIAM 17,50 X 54,00MM (15329)</t>
  </si>
  <si>
    <t>PK 009</t>
  </si>
  <si>
    <t>PK 010 - PINO PISTÃO DIAM 17,97 X 49,00MM (15262)</t>
  </si>
  <si>
    <t>PK 010</t>
  </si>
  <si>
    <t>PK 011 - PINO PISTÃO DIAM 18,00 X 57,00MM (15288)</t>
  </si>
  <si>
    <t>PK 011</t>
  </si>
  <si>
    <t>PK 012 - PINO PISTÃO DIAM 17,00 X 39,00MM (15319)</t>
  </si>
  <si>
    <t>PK 012</t>
  </si>
  <si>
    <t>PK 013 - PINO PISTÃO DIAM 17,00 X 52,00MM (15320)</t>
  </si>
  <si>
    <t>PK 013</t>
  </si>
  <si>
    <t>PK 014 - PINO PISTÃO DIAM 19,00 X 55,00MM (15275)</t>
  </si>
  <si>
    <t>PK 014</t>
  </si>
  <si>
    <t>PK 015 - PINO PISTÃO DIAM 19,49 X 57,00MM (15291)</t>
  </si>
  <si>
    <t>PK 015</t>
  </si>
  <si>
    <t>PK 016 - PINO PISTÃO DIAM 18,00 X 45,00MM (15379)</t>
  </si>
  <si>
    <t>PK 016</t>
  </si>
  <si>
    <t>PK 017 - PINO PISTÃO DIAM Ø19,96 X 46,00 MM (15251)</t>
  </si>
  <si>
    <t>PK 017</t>
  </si>
  <si>
    <t>PK 018 - PINO PISTÃO DIAM 18,00 X 45,00MM (SEM REVESTIMENTO DLC)</t>
  </si>
  <si>
    <t>PK 018</t>
  </si>
  <si>
    <t>Estoque virtual Real</t>
  </si>
  <si>
    <t>296?</t>
  </si>
  <si>
    <t xml:space="preserve">
TPS</t>
  </si>
  <si>
    <t>Atende?</t>
  </si>
  <si>
    <t>Finalizado</t>
  </si>
  <si>
    <t>P 2059 - 0,50 - PISTÃO MOTOR GM 2.0 GASOLINA</t>
  </si>
  <si>
    <t>P 2059 - 0,50</t>
  </si>
  <si>
    <t>P 2059 - 1,00 - PISTÃO MOTOR GM 2.0 GASOLINA</t>
  </si>
  <si>
    <t>P 2059 - 1,00</t>
  </si>
  <si>
    <t>P 2059 - STD - PISTÃO MOTOR GM 2.0 GASOLINA</t>
  </si>
  <si>
    <t>P 2059 - STD</t>
  </si>
  <si>
    <t>PK 019 - PINO PISTÃO DIAM 19,00 X 39,00 MM</t>
  </si>
  <si>
    <t>PK 019</t>
  </si>
  <si>
    <t>Em até 7 Dias</t>
  </si>
  <si>
    <t>Em até 30 Dias</t>
  </si>
  <si>
    <t>Item</t>
  </si>
  <si>
    <t>Desc</t>
  </si>
  <si>
    <t>CJ</t>
  </si>
  <si>
    <t>#N/D</t>
  </si>
  <si>
    <t>Qtd. Jogos</t>
  </si>
  <si>
    <t>Localização (PA/AS)</t>
  </si>
  <si>
    <t>Código PA</t>
  </si>
  <si>
    <t>Descrição PA</t>
  </si>
  <si>
    <t>Descrição AS</t>
  </si>
  <si>
    <t>Código Pistão</t>
  </si>
  <si>
    <t>PA 2000 - 0,50</t>
  </si>
  <si>
    <t>PA 2000 - 0,50 - KIT PISTÃO E ANEL MOTOR VW 1.0 8V GASOLINA</t>
  </si>
  <si>
    <t>AS67001 - 0,50</t>
  </si>
  <si>
    <t>PA 2000 - 1,00</t>
  </si>
  <si>
    <t>PA 2000 - 1,00 - KIT PISTÃO E ANEL MOTOR VW 1.0 8V GASOLINA</t>
  </si>
  <si>
    <t>AS67001 - 1,00</t>
  </si>
  <si>
    <t>PA 2000 - STD</t>
  </si>
  <si>
    <t>PA 2000 - STD - KIT PISTÃO E ANEL MOTOR VW 1.0 8V GASOLINA</t>
  </si>
  <si>
    <t>AS67001 - STD</t>
  </si>
  <si>
    <t>PA 2001 - 0,50</t>
  </si>
  <si>
    <t>PA 2001 - 0,50 - KIT PISTÃO E ANEL MOTOR VW AT 1.0 16V GASOLINA</t>
  </si>
  <si>
    <t>PA 2001 - 1,00</t>
  </si>
  <si>
    <t>PA 2001 - 1,00 - KIT PISTÃO E ANEL MOTOR VW AT 1.0 16V GASOLINA</t>
  </si>
  <si>
    <t>PA 2001 - STD</t>
  </si>
  <si>
    <t>PA 2001 - STD - KIT PISTÃO E ANEL MOTOR VW AT 1.0 16V GASOLINA</t>
  </si>
  <si>
    <t>PA 2019 - 0,50</t>
  </si>
  <si>
    <t>PA 2019 - 0,50 - KIT PISTÃO E ANEL MOTOR VW AT 1.0 16V GASOLINA</t>
  </si>
  <si>
    <t>PA 2019 - 1,00</t>
  </si>
  <si>
    <t>PA 2019 - 1,00 - KIT PISTÃO E ANEL MOTOR VW AT 1.0 16V GASOLINA</t>
  </si>
  <si>
    <t>PA 2019 - STD</t>
  </si>
  <si>
    <t>PA 2019 - STD - KIT PISTÃO E ANEL MOTOR VW AT 1.0 16V GASOLINA</t>
  </si>
  <si>
    <t>PA 2020 - 0,50</t>
  </si>
  <si>
    <t>PA 2020 - 0,50 - KIT PISTÃO E ANEL MOTOR VW AT 1.0 8V GASOLINA</t>
  </si>
  <si>
    <t>PA 2020 - 1,00</t>
  </si>
  <si>
    <t>PA 2020 - 1,00 - KIT PISTÃO E ANEL MOTOR VW AT 1.0 8V GASOLINA</t>
  </si>
  <si>
    <t>PA 2020 - STD</t>
  </si>
  <si>
    <t>PA 2020 - STD - KIT PISTÃO E ANEL MOTOR VW AT 1.0 8V GASOLINA</t>
  </si>
  <si>
    <t>PA 2052 - 0,50</t>
  </si>
  <si>
    <t>PA 2052 - 0,50 - KIT PISTÃO E ANEL MOTOR VW EA111 1.0 8V ALCOOL</t>
  </si>
  <si>
    <t>PA 2052 - 1,00</t>
  </si>
  <si>
    <t>PA 2052 - 1,00 - KIT PISTÃO E ANEL MOTOR VW EA111 1.0 8V ALCOOL</t>
  </si>
  <si>
    <t>PA 2052 - STD</t>
  </si>
  <si>
    <t>PA 2052 - STD - KIT PISTÃO E ANEL MOTOR VW EA111 1.0 8V ALCOOL</t>
  </si>
  <si>
    <t>PA 2064 - 0,50</t>
  </si>
  <si>
    <t>PA 2064 - 0,50 - KIT PISTÃO E ANEL MOTOR VW EA 111 RSH 1.0 8V BNW FLEX</t>
  </si>
  <si>
    <t>PA 2064 - 1,00</t>
  </si>
  <si>
    <t>PA 2064 - 1,00 - KIT PISTÃO E ANEL MOTOR VW EA 111 RSH 1.0 8V BNW FLEX</t>
  </si>
  <si>
    <t>PA 2064 - STD</t>
  </si>
  <si>
    <t>PA 2064 - STD - KIT PISTÃO E ANEL MOTOR VW EA 111 RSH 1.0 8V BNW FLEX</t>
  </si>
  <si>
    <t>PA 2092 - 0,50</t>
  </si>
  <si>
    <t>PA 2092 - 0,50 - KIT PISTÃO E ANEL MOTOR VW EA 111 RSH 1.0 8V CCPA FLEX 2009&gt; (ANEL ESPECIAL TA7224)</t>
  </si>
  <si>
    <t>P 2092 - 0,50 - PISTÃO MOTOR VW EA 111 RSH 1.0 8V CCP FLEX 2009&gt; (ANEL ESPECIAL TA7224)</t>
  </si>
  <si>
    <t>PA 2092 - 1,00</t>
  </si>
  <si>
    <t>PA 2092 - 1,00 - KIT PISTÃO E ANEL MOTOR VW EA 111 RSH 1.0 8V CCPA FLEX 2009&gt; (ANEL ESPECIAL TA7224)</t>
  </si>
  <si>
    <t>P 2092 - 1,00 - PISTÃO MOTOR VW EA 111 RSH 1.0 8V CCP FLEX 2009&gt; (ANEL ESPECIAL TA7224)</t>
  </si>
  <si>
    <t>PA 2092 - STD</t>
  </si>
  <si>
    <t>PA 2092 - STD - KIT PISTÃO E ANEL MOTOR VW EA 111 RSH 1.0 8V CCPA FLEX 2009&gt; (ANEL ESPECIAL TA7224)</t>
  </si>
  <si>
    <t>P 2092 - STD - PISTÃO MOTOR VW EA 111 RSH 1.0 8V CCP FLEX 2009&gt; (ANEL ESPECIAL TA7224)</t>
  </si>
  <si>
    <t>PA 2090 - 0,50</t>
  </si>
  <si>
    <t>PA 2090 - 0,50 - KIT PISTÃO E ANEL MOTOR VW EA 111 RSH 1.0 8V CCPA FLEX 2009&gt;</t>
  </si>
  <si>
    <t>AS67002 - 0,50</t>
  </si>
  <si>
    <t>P 2090 - 0,50 - PISTÃO MOTOR VW EA 111 RSH 1.0 8V CCP FLEX 2009&gt;</t>
  </si>
  <si>
    <t>PA 2090 - 1,00</t>
  </si>
  <si>
    <t>PA 2090 - 1,00 - KIT PISTÃO E ANEL MOTOR VW EA 111 RSH 1.0 8V CCPA FLEX 2009&gt;</t>
  </si>
  <si>
    <t>AS67002 - 1,00</t>
  </si>
  <si>
    <t>P 2090 - 1,00 - PISTÃO MOTOR VW EA 111 RSH 1.0 8V CCP FLEX 2009&gt;</t>
  </si>
  <si>
    <t>PA 2090 - STD</t>
  </si>
  <si>
    <t>PA 2090 - STD - KIT PISTÃO E ANEL MOTOR VW EA 111 RSH 1.0 8V CCPA FLEX 2009&gt;</t>
  </si>
  <si>
    <t>AS67002 - STD</t>
  </si>
  <si>
    <t>P 2090 - STD - PISTÃO MOTOR VW EA 111 RSH 1.0 8V CCP FLEX 2009&gt;</t>
  </si>
  <si>
    <t>PA 2002 - 0,50</t>
  </si>
  <si>
    <t>PA 2002 - 0,50 - KIT PISTÃO E ANEL MOTOR VW EA111 1.6 8V FLEX G5 / G6 NEW FAMILY</t>
  </si>
  <si>
    <t>AS76001 - 0,50</t>
  </si>
  <si>
    <t>PA 2002 - 1,00</t>
  </si>
  <si>
    <t>PA 2002 - 1,00 - KIT PISTÃO E ANEL MOTOR VW EA111 1.6 8V FLEX G5 / G6 NEW FAMILY</t>
  </si>
  <si>
    <t>AS76001 - 1,00</t>
  </si>
  <si>
    <t>PA 2002 - STD</t>
  </si>
  <si>
    <t>PA 2002 - STD - KIT PISTÃO E ANEL MOTOR VW EA111 1.6 8V FLEX G5 / G6 NEW FAMILY</t>
  </si>
  <si>
    <t>AS76001 - STD</t>
  </si>
  <si>
    <t>PA 2094 - 0,50</t>
  </si>
  <si>
    <t>PA 2094 - 0,50 - KIT PISTÃO E ANEL MOTOR VW EA 111 1.6 8V GASOLINA / FLEX 2001&gt;</t>
  </si>
  <si>
    <t>PA 2094 - 1,00</t>
  </si>
  <si>
    <t>PA 2094 - 1,00 - KIT PISTÃO E ANEL MOTOR VW EA 111 1.6 8V GASOLINA / FLEX 2001&gt;</t>
  </si>
  <si>
    <t>PA 2094 - STD</t>
  </si>
  <si>
    <t>PA 2094 - STD - KIT PISTÃO E ANEL MOTOR VW EA 111 1.6 8V GASOLINA / FLEX 2001&gt;</t>
  </si>
  <si>
    <t>PA 2095 - 0,50</t>
  </si>
  <si>
    <t>PA 2095 - 0,50 - KIT PISTÃO E ANEL MOTOR VW EA 111 1.4 8V FLEX</t>
  </si>
  <si>
    <t>PA 2095 - 1,00</t>
  </si>
  <si>
    <t>PA 2095 - 1,00 - KIT PISTÃO E ANEL MOTOR VW EA 111 1.4 8V FLEX</t>
  </si>
  <si>
    <t>PA 2095 - STD</t>
  </si>
  <si>
    <t>PA 2095 - STD - KIT PISTÃO E ANEL MOTOR VW EA 111 1.4 8V FLEX</t>
  </si>
  <si>
    <t>PA 2048 - 0,50</t>
  </si>
  <si>
    <t>PA 2048 - 0,50 - KIT PISTÃO E ANEL MOTOR VW AP 2.0 ALCOOL</t>
  </si>
  <si>
    <t>AS83001 - 0,50</t>
  </si>
  <si>
    <t>PA 2048 - 1,00</t>
  </si>
  <si>
    <t>PA 2048 - 1,00 - KIT PISTÃO E ANEL MOTOR VW AP 2.0 ALCOOL</t>
  </si>
  <si>
    <t>AS83001 - 1,00</t>
  </si>
  <si>
    <t>PA 2048 - STD</t>
  </si>
  <si>
    <t>PA 2048 - STD - KIT PISTÃO E ANEL MOTOR VW AP 2.0 ALCOOL</t>
  </si>
  <si>
    <t>AS83001 - STD</t>
  </si>
  <si>
    <t>PA 2051 - 0,50</t>
  </si>
  <si>
    <t>PA 2051 - 0,50 - KIT PISTÃO E ANEL MOTOR VW AP 2.0 GASOLINA</t>
  </si>
  <si>
    <t>PA 2051 - 1,00</t>
  </si>
  <si>
    <t>PA 2051 - 1,00 - KIT PISTÃO E ANEL MOTOR VW AP 2.0 GASOLINA</t>
  </si>
  <si>
    <t>PA 2051 - STD</t>
  </si>
  <si>
    <t>PA 2051 - STD - KIT PISTÃO E ANEL MOTOR VW AP 2.0 GASOLINA</t>
  </si>
  <si>
    <t>PA 2058 - 0,50</t>
  </si>
  <si>
    <t>PA 2058 - 0,50 - KIT PISTÃO E ANEL MOTOR VW AP 2.0 GASOLINA</t>
  </si>
  <si>
    <t>PA 2058 - 1,00</t>
  </si>
  <si>
    <t>PA 2058 - 1,00 - KIT PISTÃO E ANEL MOTOR VW AP 2.0 GASOLINA</t>
  </si>
  <si>
    <t>PA 2058 - STD</t>
  </si>
  <si>
    <t>PA 2058 - STD - KIT PISTÃO E ANEL MOTOR VW AP 2.0 GASOLINA</t>
  </si>
  <si>
    <t>PA 2007 - 0,50</t>
  </si>
  <si>
    <t>PA 2007 - 0,50 - KIT PISTÃO E ANEL MOTOR VW AP 1.6 MI FLEX</t>
  </si>
  <si>
    <t>AS81001 - 0,50</t>
  </si>
  <si>
    <t>PA 2007 - 1,00</t>
  </si>
  <si>
    <t>PA 2007 - 1,00 - KIT PISTÃO E ANEL MOTOR VW AP 1.6 MI FLEX</t>
  </si>
  <si>
    <t>AS81001 - 1,00</t>
  </si>
  <si>
    <t>PA 2007 - STD</t>
  </si>
  <si>
    <t>PA 2007 - STD - KIT PISTÃO E ANEL MOTOR VW AP 1.6 MI FLEX</t>
  </si>
  <si>
    <t>AS81001 - STD</t>
  </si>
  <si>
    <t>PA 2043 - 0,50</t>
  </si>
  <si>
    <t>PA 2043 - 0,50 - KIT PISTÃO E ANEL MOTOR VW AP 1.6 MI ALCOOL</t>
  </si>
  <si>
    <t>PA 2043 - 1,00</t>
  </si>
  <si>
    <t>PA 2043 - 1,00 - KIT PISTÃO E ANEL MOTOR VW AP 1.6 MI ALCOOL</t>
  </si>
  <si>
    <t>PA 2043 - STD</t>
  </si>
  <si>
    <t>PA 2043 - STD - KIT PISTÃO E ANEL MOTOR VW AP 1.6 MI ALCOOL</t>
  </si>
  <si>
    <t>PA 2049 - 0,50</t>
  </si>
  <si>
    <t>PA 2049 - 0,50 - KIT PISTÃO E ANEL MOTOR VW AP 1.6 MI GASOLINA / FLEX</t>
  </si>
  <si>
    <t>PA 2049 - 1,00</t>
  </si>
  <si>
    <t>PA 2049 - 1,00 - KIT PISTÃO E ANEL MOTOR VW AP 1.6 MI GASOLINA / FLEX</t>
  </si>
  <si>
    <t>PA 2049 - STD</t>
  </si>
  <si>
    <t>PA 2049 - STD - KIT PISTÃO E ANEL MOTOR VW AP 1.6 MI GASOLINA / FLEX</t>
  </si>
  <si>
    <t>PA 2050 - 0,50</t>
  </si>
  <si>
    <t>PA 2050 - 0,50 - KIT PISTÃO E ANEL MOTOR VW AP 1.8 MI GASOLINA</t>
  </si>
  <si>
    <t>PA 2050 - 1,00</t>
  </si>
  <si>
    <t>PA 2050 - 1,00 - KIT PISTÃO E ANEL MOTOR VW AP 1.8 MI GASOLINA</t>
  </si>
  <si>
    <t>PA 2050 - STD</t>
  </si>
  <si>
    <t>PA 2050 - STD - KIT PISTÃO E ANEL MOTOR VW AP 1.8 MI GASOLINA</t>
  </si>
  <si>
    <t>PA 2054 - 0,50</t>
  </si>
  <si>
    <t>PA 2054 - 0,50 - KIT PISTÃO E ANEL MOTOR VW AP 1.8 MI GASOLINA (ANEL ESPECIAL DA6563)</t>
  </si>
  <si>
    <t>PA 2054 - 1,00</t>
  </si>
  <si>
    <t>PA 2054 - 1,00 - KIT PISTÃO E ANEL MOTOR VW AP 1.8 MI GASOLINA (ANEL ESPECIAL DA6563)</t>
  </si>
  <si>
    <t>PA 2054 - STD</t>
  </si>
  <si>
    <t>PA 2054 - STD - KIT PISTÃO E ANEL MOTOR VW AP 1.8 MI GASOLINA (ANEL ESPECIAL DA6563)</t>
  </si>
  <si>
    <t>PA 2069 - 0,50</t>
  </si>
  <si>
    <t>PA 2069 - 0,50 - KIT PISTÃO E ANEL MOTOR VW AP 1.8 TOTAL FLEX</t>
  </si>
  <si>
    <t>PA 2069 - 1,00</t>
  </si>
  <si>
    <t>PA 2069 - 1,00 - KIT PISTÃO E ANEL MOTOR VW AP 1.8 TOTAL FLEX</t>
  </si>
  <si>
    <t>PA 2069 - STD</t>
  </si>
  <si>
    <t>PA 2069 - STD - KIT PISTÃO E ANEL MOTOR VW AP 1.8 TOTAL FLEX</t>
  </si>
  <si>
    <t>PA 2014 - 0,50</t>
  </si>
  <si>
    <t>PA 2014 - 0,50 - KIT PISTÃO E ANEL MOTOR VW AP 1600 GASOLINA</t>
  </si>
  <si>
    <t>AS81002 - 0,50</t>
  </si>
  <si>
    <t>PA 2014 - 1,00</t>
  </si>
  <si>
    <t>PA 2014 - 1,00 - KIT PISTÃO E ANEL MOTOR VW AP 1600 GASOLINA</t>
  </si>
  <si>
    <t>AS81002 - 1,00</t>
  </si>
  <si>
    <t>PA 2014 - STD</t>
  </si>
  <si>
    <t>PA 2014 - STD - KIT PISTÃO E ANEL MOTOR VW AP 1600 GASOLINA</t>
  </si>
  <si>
    <t>AS81002 - STD</t>
  </si>
  <si>
    <t>PA 2029 - 0,50</t>
  </si>
  <si>
    <t>PA 2029 - 0,50 - KIT PISTÃO E ANEL MOTOR VW / FORD AP 1.8 GASOLINA</t>
  </si>
  <si>
    <t>PA 2029 - 1,00</t>
  </si>
  <si>
    <t>PA 2029 - 1,00 - KIT PISTÃO E ANEL MOTOR VW / FORD AP 1.8 GASOLINA</t>
  </si>
  <si>
    <t>PA 2029 - STD</t>
  </si>
  <si>
    <t>PA 2029 - STD - KIT PISTÃO E ANEL MOTOR VW / FORD AP 1.8 GASOLINA</t>
  </si>
  <si>
    <t>PA 2031 - 0,50</t>
  </si>
  <si>
    <t>PA 2031 - 0,50 - KIT PISTÃO E ANEL MOTOR VW AP 1600 ALCOOL</t>
  </si>
  <si>
    <t>PA 2031 - 1,00</t>
  </si>
  <si>
    <t>PA 2031 - 1,00 - KIT PISTÃO E ANEL MOTOR VW AP 1600 ALCOOL</t>
  </si>
  <si>
    <t>PA 2031 - STD</t>
  </si>
  <si>
    <t>PA 2031 - STD - KIT PISTÃO E ANEL MOTOR VW AP 1600 ALCOOL</t>
  </si>
  <si>
    <t>PA 2046 - 0,50</t>
  </si>
  <si>
    <t>PA 2046 - 0,50 - KIT PISTÃO E ANEL MOTOR VW / FORD AP 1.8 ALCOOL</t>
  </si>
  <si>
    <t>PA 2046 - 1,00</t>
  </si>
  <si>
    <t>PA 2046 - 1,00 - KIT PISTÃO E ANEL MOTOR VW / FORD AP 1.8 ALCOOL</t>
  </si>
  <si>
    <t>PA 2046 - STD</t>
  </si>
  <si>
    <t>PA 2046 - STD - KIT PISTÃO E ANEL MOTOR VW / FORD AP 1.8 ALCOOL</t>
  </si>
  <si>
    <t>PA 2134 - 0,50</t>
  </si>
  <si>
    <t>PA 2134 - 0,50 - KIT PISTÃO E ANEL MOTOR VW EA211 CSEZ DOHC 1.0 12V FLEX -UP</t>
  </si>
  <si>
    <t>AS75001 - 0,50</t>
  </si>
  <si>
    <t>PA 2134 - 1,00</t>
  </si>
  <si>
    <t>PA 2134 - 1,00 - KIT PISTÃO E ANEL MOTOR VW EA211 CSEZ DOHC 1.0 12V FLEX -UP</t>
  </si>
  <si>
    <t>AS75001 - 1,00</t>
  </si>
  <si>
    <t>PA 2134 - STD</t>
  </si>
  <si>
    <t>PA 2134 - STD - KIT PISTÃO E ANEL MOTOR VW EA211 CSEZ DOHC 1.0 12V FLEX -UP</t>
  </si>
  <si>
    <t>AS75001 - STD</t>
  </si>
  <si>
    <t>PA 2068 - 0,50</t>
  </si>
  <si>
    <t>PA 2068 - 0,50 - KIT PISTÃO E ANEL MOTOR RENAULT 1.0 SCE 12V FLEX 3 CIL</t>
  </si>
  <si>
    <t>AS71001 - 0,50</t>
  </si>
  <si>
    <t>PA 2068 - 1,00</t>
  </si>
  <si>
    <t>PA 2068 - 1,00 - KIT PISTÃO E ANEL MOTOR RENAULT 1.0 SCE 12V FLEX 3 CIL</t>
  </si>
  <si>
    <t>AS71001 - 1,00</t>
  </si>
  <si>
    <t>PA 2068 - STD</t>
  </si>
  <si>
    <t>PA 2068 - STD - KIT PISTÃO E ANEL MOTOR RENAULT 1.0 SCE 12V FLEX 3 CIL</t>
  </si>
  <si>
    <t>AS71001 - STD</t>
  </si>
  <si>
    <t>PA 2042 - 0,50</t>
  </si>
  <si>
    <t>PA 2042 - 0,50 - KIT PISTÃO E ANEL MOTOR GM 2.0 8V ALCOOL</t>
  </si>
  <si>
    <t>AS86001 - 0,50</t>
  </si>
  <si>
    <t>PA 2042 - 1,00</t>
  </si>
  <si>
    <t>PA 2042 - 1,00 - KIT PISTÃO E ANEL MOTOR GM 2.0 8V ALCOOL</t>
  </si>
  <si>
    <t>AS86001 - 1,00</t>
  </si>
  <si>
    <t>PA 2042 - STD</t>
  </si>
  <si>
    <t>PA 2042 - STD - KIT PISTÃO E ANEL MOTOR GM 2.0 8V ALCOOL</t>
  </si>
  <si>
    <t>AS86001 - STD</t>
  </si>
  <si>
    <t>PA 2059 - 0,50</t>
  </si>
  <si>
    <t>PA 2059 - 0,50 - KIT PISTÃO E ANEL MOTOR GM 2.0 GASOLINA</t>
  </si>
  <si>
    <t>PA 2059 - 1,00</t>
  </si>
  <si>
    <t>PA 2059 - 1,00 - KIT PISTÃO E ANEL MOTOR GM 2.0 GASOLINA</t>
  </si>
  <si>
    <t>PA 2059 - STD</t>
  </si>
  <si>
    <t>PA 2059 - STD - KIT PISTÃO E ANEL MOTOR GM 2.0 GASOLINA</t>
  </si>
  <si>
    <t>PA 2065 - 0,50</t>
  </si>
  <si>
    <t>PA 2065 - 0,50 - KIT PISTÃO E ANEL MOTOR GM 2.2 8V EFI MPFI GASOLINA</t>
  </si>
  <si>
    <t>PA 2065 - 1,00</t>
  </si>
  <si>
    <t>PA 2065 - 1,00 - KIT PISTÃO E ANEL MOTOR GM 2.2 8V EFI MPFI GASOLINA</t>
  </si>
  <si>
    <t>PA 2065 - STD</t>
  </si>
  <si>
    <t>PA 2065 - STD - KIT PISTÃO E ANEL MOTOR GM 2.2 8V EFI MPFI GASOLINA</t>
  </si>
  <si>
    <t>PA 2006 - 0,50</t>
  </si>
  <si>
    <t>PA 2006 - 0,50 - KIT PISTÃO E ANEL MOTOR GM 2.0 GASOLINA</t>
  </si>
  <si>
    <t>PA 2006 - 1,00</t>
  </si>
  <si>
    <t>PA 2006 - 1,00 - KIT PISTÃO E ANEL MOTOR GM 2.0 GASOLINA</t>
  </si>
  <si>
    <t>PA 2006 - STD</t>
  </si>
  <si>
    <t>PA 2006 - STD - KIT PISTÃO E ANEL MOTOR GM 2.0 GASOLINA</t>
  </si>
  <si>
    <t>PA 2138 - 0,50</t>
  </si>
  <si>
    <t>PA 2138 - 0,50 - KIT PISTÃO E ANEL MOTOR CITROEN / PEUGEOT 2.0L 16V (VTS) GAS XU10J4RS</t>
  </si>
  <si>
    <t>PA 2138 - 1,00</t>
  </si>
  <si>
    <t>PA 2138 - 1,00 - KIT PISTÃO E ANEL MOTOR CITROEN / PEUGEOT 2.0L 16V (VTS) GAS XU10J4RS</t>
  </si>
  <si>
    <t>PA 2138 - STD</t>
  </si>
  <si>
    <t>PA 2138 - STD - KIT PISTÃO E ANEL MOTOR CITROEN / PEUGEOT 2.0L 16V (VTS) GAS XU10J4RS</t>
  </si>
  <si>
    <t>PA 2107 - 0,50</t>
  </si>
  <si>
    <t>PA 2107 - 0,50 - KIT PISTÃO E ANEL MOTOR GM 2.2 16V GASOLINA 1998&gt;</t>
  </si>
  <si>
    <t>PA 2107 - 1,00</t>
  </si>
  <si>
    <t>PA 2107 - 1,00 - KIT PISTÃO E ANEL MOTOR GM 2.2 16V GASOLINA 1998&gt;</t>
  </si>
  <si>
    <t>PA 2107 - STD</t>
  </si>
  <si>
    <t>PA 2107 - STD - KIT PISTÃO E ANEL MOTOR GM 2.2 16V GASOLINA 1998&gt;</t>
  </si>
  <si>
    <t>PA 2035 - 0,50</t>
  </si>
  <si>
    <t>PA 2035 - 0,50 - KIT PISTÃO E ANEL MOTOR GM 1.0 8V EFI GASOLINA</t>
  </si>
  <si>
    <t>AS71002 - 0,50</t>
  </si>
  <si>
    <t>PA 2035 - 1,00</t>
  </si>
  <si>
    <t>PA 2035 - 1,00 - KIT PISTÃO E ANEL MOTOR GM 1.0 8V EFI GASOLINA</t>
  </si>
  <si>
    <t>AS71002 - 1,00</t>
  </si>
  <si>
    <t>PA 2035 - STD</t>
  </si>
  <si>
    <t>PA 2035 - STD - KIT PISTÃO E ANEL MOTOR GM 1.0 8V EFI GASOLINA</t>
  </si>
  <si>
    <t>AS71002 - STD</t>
  </si>
  <si>
    <t>PA 2041 - 0,50</t>
  </si>
  <si>
    <t>PA 2041 - 0,50 - KIT PISTÃO E ANEL MOTOR GM 1.0 8V MPFI GASOLINA</t>
  </si>
  <si>
    <t>PA 2041 - 1,00</t>
  </si>
  <si>
    <t>PA 2041 - 1,00 - KIT PISTÃO E ANEL MOTOR GM 1.0 8V MPFI GASOLINA</t>
  </si>
  <si>
    <t>PA 2041 - STD</t>
  </si>
  <si>
    <t>PA 2041 - STD - KIT PISTÃO E ANEL MOTOR GM 1.0 8V MPFI GASOLINA</t>
  </si>
  <si>
    <t>PA 2100 - 0,50</t>
  </si>
  <si>
    <t>PA 2100 - 0,50 - KIT PISTÃO E ANEL MOTOR GM 1.0 8V VHC GAS / SOHC FLEX / MPFI ALCOOL (ANÉL ESPECIAL DA7092)</t>
  </si>
  <si>
    <t>PA 2100 - 1,00</t>
  </si>
  <si>
    <t>PA 2100 - 1,00 - KIT PISTÃO E ANEL MOTOR GM 1.0 8V VHC GAS / SOHC FLEX / MPFI ALCOOL (ANÉL ESPECIAL DA7092)</t>
  </si>
  <si>
    <t>PA 2100 - STD</t>
  </si>
  <si>
    <t>PA 2100 - STD - KIT PISTÃO E ANEL MOTOR GM 1.0 8V VHC GAS / SOHC FLEX / MPFI ALCOOL (ANÉL ESPECIAL DA7092)</t>
  </si>
  <si>
    <t>PA 2137 - 0,50</t>
  </si>
  <si>
    <t>PA 2137 - 0,50 - KIT PISTÃO E ANEL MOTOR GM 1.8 8V ECONOFLEX</t>
  </si>
  <si>
    <t>AS81003 - 0,50</t>
  </si>
  <si>
    <t>PA 2137 - 1,00</t>
  </si>
  <si>
    <t>PA 2137 - 1,00 - KIT PISTÃO E ANEL MOTOR GM 1.8 8V ECONOFLEX</t>
  </si>
  <si>
    <t>AS81003 - 1,00</t>
  </si>
  <si>
    <t>PA 2137 - STD</t>
  </si>
  <si>
    <t>PA 2137 - STD - KIT PISTÃO E ANEL MOTOR GM 1.8 8V ECONOFLEX</t>
  </si>
  <si>
    <t>AS81003 - STD</t>
  </si>
  <si>
    <t>PA 2144 - 0,50</t>
  </si>
  <si>
    <t>PA 2144 - 0,50 - KIT PISTÃO E ANEL MOTOR GM 1.8 16V ECOTEC6 FLEX N18XFF (ANEL ESPECIAL TA7268)</t>
  </si>
  <si>
    <t>PA 2144 - 1,00</t>
  </si>
  <si>
    <t>PA 2144 - 1,00 - KIT PISTÃO E ANEL MOTOR GM 1.8 16V ECOTEC6 FLEX N18XFF (ANEL ESPECIAL TA7268)</t>
  </si>
  <si>
    <t>PA 2144 - STD</t>
  </si>
  <si>
    <t>PA 2144 - STD - KIT PISTÃO E ANEL MOTOR GM 1.8 16V ECOTEC6 FLEX N18XFF (ANEL ESPECIAL TA7268)</t>
  </si>
  <si>
    <t>PA 2053 - 0,50</t>
  </si>
  <si>
    <t>PA 2053 - 0,50 - KIT PISTÃO E ANEL MOTOR FIAT / GM 1.8 8V FLEX</t>
  </si>
  <si>
    <t>PA 2053 - 1,00</t>
  </si>
  <si>
    <t>PA 2053 - 1,00 - KIT PISTÃO E ANEL MOTOR FIAT / GM 1.8 8V FLEX</t>
  </si>
  <si>
    <t>PA 2053 - STD</t>
  </si>
  <si>
    <t>PA 2053 - STD - KIT PISTÃO E ANEL MOTOR FIAT / GM 1.8 8V FLEX</t>
  </si>
  <si>
    <t>PA 2096 - 0,50</t>
  </si>
  <si>
    <t>PA 2096 - 0,50 - KIT PISTÃO E ANEL MOTOR FIAT / GM 1.8 8V GASOLINA</t>
  </si>
  <si>
    <t>PA 2096 - 1,00</t>
  </si>
  <si>
    <t>PA 2096 - 1,00 - KIT PISTÃO E ANEL MOTOR FIAT / GM 1.8 8V GASOLINA</t>
  </si>
  <si>
    <t>PA 2096 - STD</t>
  </si>
  <si>
    <t>PA 2096 - STD - KIT PISTÃO E ANEL MOTOR FIAT / GM 1.8 8V GASOLINA</t>
  </si>
  <si>
    <t>PA 2105 - 0,50</t>
  </si>
  <si>
    <t>PA 2105 - 0,50 - KIT PISTÃO E ANEL MOTOR FIAT 1.8 16V FAMILIA I GASOLINA</t>
  </si>
  <si>
    <t>PA 2105 - 1,00</t>
  </si>
  <si>
    <t>PA 2105 - 1,00 - KIT PISTÃO E ANEL MOTOR FIAT 1.8 16V FAMILIA I GASOLINA</t>
  </si>
  <si>
    <t>PA 2105 - STD</t>
  </si>
  <si>
    <t>PA 2105 - STD - KIT PISTÃO E ANEL MOTOR FIAT 1.8 16V FAMILIA I GASOLINA</t>
  </si>
  <si>
    <t>PA 2004 - 0,40</t>
  </si>
  <si>
    <t>PA 2004 - 0,40 - KIT PISTÃO E ANEL MOTOR FIAT FIRE 1.0 8V FLEX (ECONOMY)</t>
  </si>
  <si>
    <t>AS70001 - 0,40</t>
  </si>
  <si>
    <t>PA 2004 - 0,60</t>
  </si>
  <si>
    <t>PA 2004 - 0,60 - KIT PISTÃO E ANEL MOTOR FIAT FIRE 1.0 8V FLEX (ECONOMY)</t>
  </si>
  <si>
    <t>AS70001 - 0,60</t>
  </si>
  <si>
    <t>PA 2004 - STD</t>
  </si>
  <si>
    <t>PA 2004 - STD - KIT PISTÃO E ANEL MOTOR FIAT FIRE 1.0 8V FLEX (ECONOMY)</t>
  </si>
  <si>
    <t>AS70001 - STD</t>
  </si>
  <si>
    <t>PA 2026 - 0,40</t>
  </si>
  <si>
    <t>PA 2026 - 0,40 - KIT PISTÃO E ANEL MOTOR FIAT EVOTEC 1.0 8V HPP FLEX (ANEL ESPECIAL TD7508) &lt;3.TRI 2011</t>
  </si>
  <si>
    <t>PA 2026 - 0,60</t>
  </si>
  <si>
    <t>PA 2026 - 0,60 - KIT PISTÃO E ANEL MOTOR FIAT EVOTEC 1.0 8V HPP FLEX (ANEL ESPECIAL TD7508) &lt;3.TRI 2011</t>
  </si>
  <si>
    <t>PA 2026 - STD</t>
  </si>
  <si>
    <t>PA 2026 - STD - KIT PISTÃO E ANEL MOTOR FIAT EVOTEC 1.0 8V HPP FLEX (ANEL ESPECIAL TD7508) &lt;3.TRI 2011</t>
  </si>
  <si>
    <t>PA 2044 - 0,40</t>
  </si>
  <si>
    <t>PA 2044 - 0,40 - KIT PISTÃO E ANEL MOTOR FIAT 1.0 8V FIRE GASOLINA</t>
  </si>
  <si>
    <t>PA 2044 - 0,60</t>
  </si>
  <si>
    <t>PA 2044 - 0,60 - KIT PISTÃO E ANEL MOTOR FIAT 1.0 8V FIRE GASOLINA</t>
  </si>
  <si>
    <t>PA 2044 - STD</t>
  </si>
  <si>
    <t>PA 2044 - STD - KIT PISTÃO E ANEL MOTOR FIAT 1.0 8V FIRE GASOLINA</t>
  </si>
  <si>
    <t>PA 2060 - 0,40</t>
  </si>
  <si>
    <t>PA 2060 - 0,40 - KIT PISTÃO E ANEL MOTOR FIAT 1.0 16V FIRE GASOLINA</t>
  </si>
  <si>
    <t>PA 2060 - 0,60</t>
  </si>
  <si>
    <t>PA 2060 - 0,60 - KIT PISTÃO E ANEL MOTOR FIAT 1.0 16V FIRE GASOLINA</t>
  </si>
  <si>
    <t>PA 2060 - STD</t>
  </si>
  <si>
    <t>PA 2060 - STD - KIT PISTÃO E ANEL MOTOR FIAT 1.0 16V FIRE GASOLINA</t>
  </si>
  <si>
    <t>PA 2076 - 0,40</t>
  </si>
  <si>
    <t>PA 2076 - 0,40 - KIT PISTÃO E ANEL MOTOR FIAT FIRE 1.0 8V FLEX</t>
  </si>
  <si>
    <t>PA 2076 - 0,60</t>
  </si>
  <si>
    <t>PA 2076 - 0,60 - KIT PISTÃO E ANEL MOTOR FIAT FIRE 1.0 8V FLEX</t>
  </si>
  <si>
    <t>PA 2076 - STD</t>
  </si>
  <si>
    <t>PA 2076 - STD - KIT PISTÃO E ANEL MOTOR FIAT FIRE 1.0 8V FLEX</t>
  </si>
  <si>
    <t>PA 2005 - 0,40</t>
  </si>
  <si>
    <t>PA 2005 - 0,40 - KIT PISTÃO E ANEL MOTOR FIAT FIASA 1500 ALCOOL</t>
  </si>
  <si>
    <t>AS76002 - 0,40</t>
  </si>
  <si>
    <t>PA 2005 - 0,60</t>
  </si>
  <si>
    <t>PA 2005 - 0,60 - KIT PISTÃO E ANEL MOTOR FIAT FIASA 1500 ALCOOL</t>
  </si>
  <si>
    <t>AS76002 - 0,60</t>
  </si>
  <si>
    <t>PA 2005 - STD</t>
  </si>
  <si>
    <t>PA 2005 - STD - KIT PISTÃO E ANEL MOTOR FIAT FIASA 1500 ALCOOL</t>
  </si>
  <si>
    <t>AS76002 - STD</t>
  </si>
  <si>
    <t>PA 2034 - 0,40</t>
  </si>
  <si>
    <t>PA 2034 - 0,40 - KIT PISTÃO E ANEL MOTOR FIAT FIASA 1.5 MPI GASOLINA</t>
  </si>
  <si>
    <t>PA 2034 - 0,60</t>
  </si>
  <si>
    <t>PA 2034 - 0,60 - KIT PISTÃO E ANEL MOTOR FIAT FIASA 1.5 MPI GASOLINA</t>
  </si>
  <si>
    <t>PA 2034 - STD</t>
  </si>
  <si>
    <t>PA 2034 - STD - KIT PISTÃO E ANEL MOTOR FIAT FIASA 1.5 MPI GASOLINA</t>
  </si>
  <si>
    <t>PA 2056 - 0,40</t>
  </si>
  <si>
    <t>PA 2056 - 0,40 - KIT PISTÃO E ANEL MOTOR FIAT FIASA 1.5 E 201 1500</t>
  </si>
  <si>
    <t>PA 2056 - 0,60</t>
  </si>
  <si>
    <t>PA 2056 - 0,60 - KIT PISTÃO E ANEL MOTOR FIAT FIASA 1.5 E 201 1500</t>
  </si>
  <si>
    <t>PA 2056 - STD</t>
  </si>
  <si>
    <t>PA 2056 - STD - KIT PISTÃO E ANEL MOTOR FIAT FIASA 1.5 E 201 1500</t>
  </si>
  <si>
    <t>PA 2083 - 0,40</t>
  </si>
  <si>
    <t>PA 2083 - 0,40 - KIT PISTÃO E ANEL MOTOR FIAT FIASA 1.0 MPI 8V GASOLINA</t>
  </si>
  <si>
    <t>PA 2083 - 0,60</t>
  </si>
  <si>
    <t>PA 2083 - 0,60 - KIT PISTÃO E ANEL MOTOR FIAT FIASA 1.0 MPI 8V GASOLINA</t>
  </si>
  <si>
    <t>PA 2083 - STD</t>
  </si>
  <si>
    <t>PA 2083 - STD - KIT PISTÃO E ANEL MOTOR FIAT FIASA 1.0 MPI 8V GASOLINA</t>
  </si>
  <si>
    <t>PA 2057 - 0,50</t>
  </si>
  <si>
    <t>PA 2057 - 0,50 - PISTÃO MOTOR VW AP 2.0 GASOLINA 1997</t>
  </si>
  <si>
    <t>AS82001 - 0,50</t>
  </si>
  <si>
    <t>P 2057 - 0,50 - PISTÃO MOTOR VW AP 2.0 GASOLINA 1997</t>
  </si>
  <si>
    <t>PA 2057 - 1,00</t>
  </si>
  <si>
    <t>PA 2057 - 1,00 - PISTÃO MOTOR VW AP 2.0 GASOLINA 1997</t>
  </si>
  <si>
    <t>AS82001 - 1,00</t>
  </si>
  <si>
    <t>P 2057 - 1,00 - PISTÃO MOTOR VW AP 2.0 GASOLINA 1997</t>
  </si>
  <si>
    <t>PA 2057 - STD</t>
  </si>
  <si>
    <t>PA 2057 - STD - PISTÃO MOTOR VW AP 2.0 GASOLINA 1997</t>
  </si>
  <si>
    <t>AS82001 - STD</t>
  </si>
  <si>
    <t>P 2057 - STD - PISTÃO MOTOR VW AP 2.0 GASOLINA 1997</t>
  </si>
  <si>
    <t>PA 2021 - 0,50</t>
  </si>
  <si>
    <t>PA 2021 - 0,50 - KIT PISTÃO E ANEL MOTOR FORD ZETEC ROCAM 1.0 8V GASOLINA (ANEL ESPECIAL LN7242)</t>
  </si>
  <si>
    <t>AS69001 - 0,50</t>
  </si>
  <si>
    <t>PA 2021 - 1,00</t>
  </si>
  <si>
    <t>PA 2021 - 1,00 - KIT PISTÃO E ANEL MOTOR FORD ZETEC ROCAM 1.0 8V GASOLINA (ANEL ESPECIAL LN7242)</t>
  </si>
  <si>
    <t>AS69001 - 1,00</t>
  </si>
  <si>
    <t>PA 2021 - STD</t>
  </si>
  <si>
    <t>PA 2021 - STD - KIT PISTÃO E ANEL MOTOR FORD ZETEC ROCAM 1.0 8V GASOLINA (ANEL ESPECIAL LN7242)</t>
  </si>
  <si>
    <t>AS69001 - STD</t>
  </si>
  <si>
    <t>PA 2079 - 0,50</t>
  </si>
  <si>
    <t>PA 2079 - 0,50 - KIT PISTÃO E ANEL MOTOR FORD 1.0 8V ZETEC ROCAM GASOLINA</t>
  </si>
  <si>
    <t>PA 2079 - 1,00</t>
  </si>
  <si>
    <t>PA 2079 - 1,00 - KIT PISTÃO E ANEL MOTOR FORD 1.0 8V ZETEC ROCAM GASOLINA</t>
  </si>
  <si>
    <t>PA 2079 - STD</t>
  </si>
  <si>
    <t>PA 2079 - STD - KIT PISTÃO E ANEL MOTOR FORD 1.0 8V ZETEC ROCAM GASOLINA</t>
  </si>
  <si>
    <t>PA 2087 - 0,50</t>
  </si>
  <si>
    <t>PA 2087 - 0,50 - KIT PISTÃO E ANEL MOTOR FORD 1.0 8V ZETEC ROCAM FLEX</t>
  </si>
  <si>
    <t>PA 2087 - 1,00</t>
  </si>
  <si>
    <t>PA 2087 - 1,00 - KIT PISTÃO E ANEL MOTOR FORD 1.0 8V ZETEC ROCAM FLEX</t>
  </si>
  <si>
    <t>PA 2087 - STD</t>
  </si>
  <si>
    <t>PA 2087 - STD - KIT PISTÃO E ANEL MOTOR FORD 1.0 8V ZETEC ROCAM FLEX</t>
  </si>
  <si>
    <t>PA 2151 - 0,50</t>
  </si>
  <si>
    <t>PA 2151 - 0,50 - KIT PISTÃO E ANEL MOTOR 1.0 FLEX 3C FORD KA</t>
  </si>
  <si>
    <t>AS72001 - 0,50</t>
  </si>
  <si>
    <t>PA 2151 - 1,00</t>
  </si>
  <si>
    <t>PA 2151 - 1,00 - KIT PISTÃO E ANEL MOTOR 1.0 FLEX 3C FORD KA</t>
  </si>
  <si>
    <t>AS72001 - 1,00</t>
  </si>
  <si>
    <t>PA 2151 - STD</t>
  </si>
  <si>
    <t>PA 2151 - STD - KIT PISTÃO E ANEL MOTOR 1.0 FLEX 3C FORD KA</t>
  </si>
  <si>
    <t>AS72001 - STD</t>
  </si>
  <si>
    <t>PA 2089 - 0,50</t>
  </si>
  <si>
    <t>PA 2089 - 0,50 - KIT PISTÃO E ANEL MOTOR 1.0 12V 3cc FLEX HB20 2012 EM DIANTE; KAPPA DOHC FLEX; KIA PICANTO 2011 EM DIANTE;</t>
  </si>
  <si>
    <t>AS71003 - 0,50</t>
  </si>
  <si>
    <t>P 2089 - 0,50 - PISTÃO MOTOR 1.0 12V 3cc FLEX HB20 2012 EM DIANTE; KAPP DOHC FLEX; KIA PICANTO 2011 EM DIANTE;</t>
  </si>
  <si>
    <t>PA 2089 - 1,00</t>
  </si>
  <si>
    <t>PA 2089 - 1,00 - KIT PISTÃO E ANEL MOTOR 1.0 12V 3cc FLEX HB20 2012 EM DIANTE; KAPPA DOHC FLEX; KIA PICANTO 2011 EM DIANTE;</t>
  </si>
  <si>
    <t>AS71003 - 1,00</t>
  </si>
  <si>
    <t>P 2089 - 1,00 - PISTÃO MOTOR 1.0 12V 3cc FLEX HB20 2012 EM DIANTE; KAPP DOHC FLEX; KIA PICANTO 2011 EM DIANTE;</t>
  </si>
  <si>
    <t>PA 2089 - STD</t>
  </si>
  <si>
    <t>PA 2089 - STD - KIT PISTÃO E ANEL MOTOR 1.0 12V 3cc FLEX HB20 2012 EM DIANTE; KAPPA DOHC FLEX; KIA PICANTO 2011 EM DIANTE;</t>
  </si>
  <si>
    <t>AS71003 - STD</t>
  </si>
  <si>
    <t>P 2089 - STD - PISTÃO MOTOR 1.0 12V 3cc FLEX HB20 2012 EM DIANTE; KAPP DOHC FLEX; KIA PICANTO 2011 EM DIANTE;</t>
  </si>
  <si>
    <t>AS</t>
  </si>
  <si>
    <t>Loc</t>
  </si>
  <si>
    <t>Qtd.Aneis</t>
  </si>
  <si>
    <t>PN</t>
  </si>
  <si>
    <t>Código Barras</t>
  </si>
  <si>
    <t>Verificação</t>
  </si>
  <si>
    <t>Soma de Quantidade</t>
  </si>
  <si>
    <t>GTIN/EAN</t>
  </si>
  <si>
    <t>P 2082 - 0,50</t>
  </si>
  <si>
    <t>P 2082 - 1,00</t>
  </si>
  <si>
    <t>P 2082 - STD</t>
  </si>
  <si>
    <t>P 2085 - 0,50</t>
  </si>
  <si>
    <t>P 2085 - 1,00</t>
  </si>
  <si>
    <t>P 2085 - STD</t>
  </si>
  <si>
    <t>P 2102 - 0,50</t>
  </si>
  <si>
    <t>P 2102 - 1,00</t>
  </si>
  <si>
    <t>P 2102 - STD</t>
  </si>
  <si>
    <t>P 2103 - 0,50</t>
  </si>
  <si>
    <t>P 2103 - 1,00</t>
  </si>
  <si>
    <t>P 2103 - STD</t>
  </si>
  <si>
    <t>P 2133 - 0,50</t>
  </si>
  <si>
    <t>P 2133 - 1,00</t>
  </si>
  <si>
    <t>P 2133 - STD</t>
  </si>
  <si>
    <t xml:space="preserve">             |</t>
  </si>
  <si>
    <t xml:space="preserve">            |</t>
  </si>
  <si>
    <t>PA 2089 - 0,50 - KIT PISTÃO E ANEL MOTOR 1.0 12V 3cc FLEX HB20 2012 EM DIANTE; KAPPA DOHC FLEX; KIA PICANTO 2011 EM DIAN</t>
  </si>
  <si>
    <t>PA 2089 - 1,00 - KIT PISTÃO E ANEL MOTOR 1.0 12V 3cc FLEX HB20 2012 EM DIANTE; KAPPA DOHC FLEX; KIA PICANTO 2011 EM DIAN</t>
  </si>
  <si>
    <t>PA 2089 - STD - KIT PISTÃO E ANEL MOTOR 1.0 12V 3cc FLEX HB20 2012 EM DIANTE; KAPPA DOHC FLEX; KIA PICANTO 2011 EM DIANT</t>
  </si>
  <si>
    <t>PA XXXX TESTE 1111</t>
  </si>
  <si>
    <t>PA XXXX TESTE</t>
  </si>
  <si>
    <t>Esquerda</t>
  </si>
  <si>
    <t xml:space="preserve">P </t>
  </si>
  <si>
    <t>PA</t>
  </si>
  <si>
    <t>P2150 - 0,50</t>
  </si>
  <si>
    <t>7898672304389</t>
  </si>
  <si>
    <t>7898672304396</t>
  </si>
  <si>
    <t>7898672304402</t>
  </si>
  <si>
    <t>7898672304419</t>
  </si>
  <si>
    <t>7898672304426</t>
  </si>
  <si>
    <t>7898672304433</t>
  </si>
  <si>
    <t>7898672304440</t>
  </si>
  <si>
    <t>7898672304457</t>
  </si>
  <si>
    <t>7898672304464</t>
  </si>
  <si>
    <t>7898672304471</t>
  </si>
  <si>
    <t>7898672304488</t>
  </si>
  <si>
    <t>7898672304495</t>
  </si>
  <si>
    <t>7898672304501</t>
  </si>
  <si>
    <t>7898672304518</t>
  </si>
  <si>
    <t>7898672304525</t>
  </si>
  <si>
    <t>7898672304532</t>
  </si>
  <si>
    <t>7898672304549</t>
  </si>
  <si>
    <t>7898672304556</t>
  </si>
  <si>
    <t>7898672304563</t>
  </si>
  <si>
    <t>7898672304570</t>
  </si>
  <si>
    <t>7898672304587</t>
  </si>
  <si>
    <t>7898672304594</t>
  </si>
  <si>
    <t>7898672304600</t>
  </si>
  <si>
    <t>7898672304617</t>
  </si>
  <si>
    <t>7898672304624</t>
  </si>
  <si>
    <t>7898672304631</t>
  </si>
  <si>
    <t>7898672304648</t>
  </si>
  <si>
    <t>7898672304655</t>
  </si>
  <si>
    <t>7898672304662</t>
  </si>
  <si>
    <t>7898672304679</t>
  </si>
  <si>
    <t>7898672304686</t>
  </si>
  <si>
    <t>7898672304693</t>
  </si>
  <si>
    <t>7898672304709</t>
  </si>
  <si>
    <t>7898672304716</t>
  </si>
  <si>
    <t>7898672304723</t>
  </si>
  <si>
    <t>7898672304730</t>
  </si>
  <si>
    <t>7898672304747</t>
  </si>
  <si>
    <t>7898672304754</t>
  </si>
  <si>
    <t>7898672304761</t>
  </si>
  <si>
    <t>7898672304778</t>
  </si>
  <si>
    <t>7898672304785</t>
  </si>
  <si>
    <t>7898672304792</t>
  </si>
  <si>
    <t>7898672304808</t>
  </si>
  <si>
    <t>7898672304815</t>
  </si>
  <si>
    <t>7898672304822</t>
  </si>
  <si>
    <t>7898672304839</t>
  </si>
  <si>
    <t>7898672304846</t>
  </si>
  <si>
    <t>7898672304853</t>
  </si>
  <si>
    <t>7898672304860</t>
  </si>
  <si>
    <t>7898672304877</t>
  </si>
  <si>
    <t>7898672304884</t>
  </si>
  <si>
    <t>AS75001  - STD</t>
  </si>
  <si>
    <t>AS71002  - STD</t>
  </si>
  <si>
    <t>AS71002  - 0,50</t>
  </si>
  <si>
    <t>KA4 COM  02.00  19/03/2025</t>
  </si>
  <si>
    <t>Gerar Romaneio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</si>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</sst>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13" x14ac:knownFonts="1">
    <font>
      <sz val="11"/>
      <color indexed="8"/>
      <name val="Calibri"/>
    </font>
    <font>
      <sz val="11"/>
      <color indexed="8"/>
      <name val="Calibri"/>
      <family val="2"/>
    </font>
    <font>
      <sz val="14"/>
      <color indexed="8"/>
      <name val="Calibri"/>
      <family val="2"/>
    </font>
    <font>
      <b/>
      <sz val="8"/>
      <color indexed="8"/>
      <name val="Calibri"/>
      <family val="2"/>
    </font>
    <font>
      <sz val="11"/>
      <color theme="0"/>
      <name val="Calibri"/>
      <family val="2"/>
    </font>
    <font>
      <b/>
      <sz val="10"/>
      <color indexed="8"/>
      <name val="Calibri"/>
      <family val="2"/>
    </font>
    <font>
      <sz val="14"/>
      <color rgb="FF000000"/>
      <name val="Calibri"/>
      <family val="2"/>
    </font>
    <font>
      <sz val="12"/>
      <color indexed="8"/>
      <name val="Calibri"/>
      <family val="2"/>
    </font>
    <font>
      <b/>
      <u/>
      <sz val="12"/>
      <color indexed="8"/>
      <name val="Calibri"/>
      <family val="2"/>
    </font>
    <font>
      <sz val="11"/>
      <color indexed="8"/>
      <name val="Calibri"/>
      <family val="2"/>
    </font>
    <font>
      <sz val="22"/>
      <color indexed="8"/>
      <name val="Calibri Light"/>
      <family val="2"/>
    </font>
    <font>
      <sz val="14"/>
      <color indexed="8"/>
      <name val="Calibri Light"/>
      <family val="2"/>
      <scheme val="major"/>
    </font>
    <font>
      <sz val="16"/>
      <color indexed="8"/>
      <name val="Calibri Light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 applyFill="0" applyProtection="0"/>
    <xf numFmtId="0" fontId="1" fillId="0" borderId="0" applyFill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91">
    <xf numFmtId="0" fontId="0" fillId="0" borderId="0" xfId="0" applyFill="1" applyProtection="1"/>
    <xf numFmtId="0" fontId="0" fillId="0" borderId="1" xfId="0" applyFill="1" applyBorder="1" applyProtection="1"/>
    <xf numFmtId="0" fontId="0" fillId="0" borderId="2" xfId="0" applyFill="1" applyBorder="1" applyProtection="1"/>
    <xf numFmtId="0" fontId="0" fillId="0" borderId="3" xfId="0" applyFill="1" applyBorder="1" applyProtection="1"/>
    <xf numFmtId="0" fontId="0" fillId="0" borderId="4" xfId="0" applyFill="1" applyBorder="1" applyProtection="1"/>
    <xf numFmtId="0" fontId="0" fillId="0" borderId="5" xfId="0" applyFill="1" applyBorder="1" applyProtection="1"/>
    <xf numFmtId="0" fontId="1" fillId="0" borderId="7" xfId="0" applyFont="1" applyFill="1" applyBorder="1" applyProtection="1"/>
    <xf numFmtId="0" fontId="1" fillId="0" borderId="8" xfId="0" applyFont="1" applyFill="1" applyBorder="1" applyProtection="1"/>
    <xf numFmtId="0" fontId="0" fillId="0" borderId="9" xfId="0" applyFill="1" applyBorder="1" applyProtection="1"/>
    <xf numFmtId="0" fontId="1" fillId="0" borderId="0" xfId="0" applyFont="1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17" xfId="0" applyFill="1" applyBorder="1" applyProtection="1"/>
    <xf numFmtId="0" fontId="0" fillId="0" borderId="0" xfId="0" applyNumberFormat="1" applyFill="1" applyProtection="1"/>
    <xf numFmtId="0" fontId="0" fillId="0" borderId="0" xfId="0" pivotButton="1" applyFill="1" applyProtection="1"/>
    <xf numFmtId="0" fontId="0" fillId="0" borderId="0" xfId="0" applyFill="1" applyAlignment="1" applyProtection="1">
      <alignment horizontal="left"/>
    </xf>
    <xf numFmtId="10" fontId="0" fillId="0" borderId="0" xfId="0" applyNumberFormat="1" applyFill="1" applyProtection="1"/>
    <xf numFmtId="0" fontId="1" fillId="0" borderId="0" xfId="0" applyFont="1" applyFill="1" applyProtection="1"/>
    <xf numFmtId="0" fontId="0" fillId="0" borderId="18" xfId="0" applyFill="1" applyBorder="1" applyProtection="1"/>
    <xf numFmtId="0" fontId="0" fillId="0" borderId="16" xfId="0" applyFill="1" applyBorder="1" applyProtection="1"/>
    <xf numFmtId="0" fontId="0" fillId="0" borderId="15" xfId="0" applyFill="1" applyBorder="1" applyProtection="1"/>
    <xf numFmtId="0" fontId="0" fillId="2" borderId="14" xfId="0" applyFill="1" applyBorder="1" applyProtection="1"/>
    <xf numFmtId="0" fontId="1" fillId="0" borderId="1" xfId="0" applyFont="1" applyFill="1" applyBorder="1" applyProtection="1"/>
    <xf numFmtId="0" fontId="1" fillId="0" borderId="6" xfId="0" applyFont="1" applyFill="1" applyBorder="1" applyProtection="1"/>
    <xf numFmtId="0" fontId="1" fillId="5" borderId="1" xfId="0" applyFont="1" applyFill="1" applyBorder="1" applyProtection="1"/>
    <xf numFmtId="0" fontId="0" fillId="5" borderId="1" xfId="0" applyFill="1" applyBorder="1" applyProtection="1"/>
    <xf numFmtId="0" fontId="1" fillId="0" borderId="0" xfId="0" applyFont="1" applyFill="1" applyAlignment="1" applyProtection="1">
      <alignment wrapText="1"/>
    </xf>
    <xf numFmtId="0" fontId="3" fillId="0" borderId="0" xfId="0" applyFont="1" applyFill="1" applyAlignment="1" applyProtection="1"/>
    <xf numFmtId="0" fontId="5" fillId="0" borderId="0" xfId="0" applyFont="1" applyFill="1" applyAlignment="1" applyProtection="1"/>
    <xf numFmtId="0" fontId="4" fillId="0" borderId="0" xfId="0" applyFont="1" applyFill="1" applyProtection="1"/>
    <xf numFmtId="0" fontId="0" fillId="0" borderId="19" xfId="0" applyFill="1" applyBorder="1" applyProtection="1"/>
    <xf numFmtId="0" fontId="0" fillId="0" borderId="20" xfId="0" applyFill="1" applyBorder="1" applyProtection="1"/>
    <xf numFmtId="0" fontId="0" fillId="0" borderId="0" xfId="0" applyFill="1" applyBorder="1" applyProtection="1"/>
    <xf numFmtId="0" fontId="0" fillId="0" borderId="21" xfId="0" applyFill="1" applyBorder="1" applyProtection="1"/>
    <xf numFmtId="0" fontId="0" fillId="0" borderId="22" xfId="0" applyFill="1" applyBorder="1" applyProtection="1"/>
    <xf numFmtId="0" fontId="1" fillId="0" borderId="0" xfId="0" applyFont="1" applyFill="1" applyBorder="1" applyAlignment="1" applyProtection="1">
      <alignment horizontal="center" vertical="center" wrapText="1"/>
    </xf>
    <xf numFmtId="0" fontId="0" fillId="2" borderId="13" xfId="0" applyFill="1" applyBorder="1" applyAlignment="1" applyProtection="1">
      <alignment horizontal="right"/>
    </xf>
    <xf numFmtId="0" fontId="1" fillId="0" borderId="18" xfId="0" applyFont="1" applyFill="1" applyBorder="1" applyProtection="1"/>
    <xf numFmtId="0" fontId="1" fillId="0" borderId="16" xfId="0" applyFont="1" applyFill="1" applyBorder="1" applyProtection="1"/>
    <xf numFmtId="0" fontId="1" fillId="0" borderId="8" xfId="0" applyFont="1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9" xfId="0" applyFill="1" applyBorder="1" applyAlignment="1" applyProtection="1">
      <alignment horizontal="center"/>
    </xf>
    <xf numFmtId="0" fontId="1" fillId="0" borderId="0" xfId="1" applyFill="1" applyProtection="1"/>
    <xf numFmtId="0" fontId="1" fillId="0" borderId="0" xfId="0" applyFont="1" applyFill="1" applyBorder="1" applyAlignment="1" applyProtection="1">
      <alignment horizontal="center"/>
    </xf>
    <xf numFmtId="0" fontId="1" fillId="0" borderId="0" xfId="0" applyFont="1" applyFill="1" applyBorder="1" applyProtection="1"/>
    <xf numFmtId="0" fontId="2" fillId="4" borderId="8" xfId="0" applyFont="1" applyFill="1" applyBorder="1" applyAlignment="1" applyProtection="1">
      <alignment horizontal="center"/>
    </xf>
    <xf numFmtId="0" fontId="7" fillId="4" borderId="8" xfId="0" applyFont="1" applyFill="1" applyBorder="1" applyProtection="1"/>
    <xf numFmtId="0" fontId="7" fillId="0" borderId="23" xfId="0" applyFont="1" applyFill="1" applyBorder="1" applyAlignment="1" applyProtection="1">
      <alignment horizontal="center" vertical="center" wrapText="1"/>
    </xf>
    <xf numFmtId="0" fontId="7" fillId="0" borderId="24" xfId="0" applyFont="1" applyFill="1" applyBorder="1" applyAlignment="1" applyProtection="1">
      <alignment horizontal="center" vertical="center" wrapText="1"/>
    </xf>
    <xf numFmtId="0" fontId="7" fillId="0" borderId="25" xfId="0" applyFont="1" applyFill="1" applyBorder="1" applyAlignment="1" applyProtection="1">
      <alignment horizontal="center" vertical="center" wrapText="1"/>
    </xf>
    <xf numFmtId="0" fontId="2" fillId="4" borderId="8" xfId="0" applyFont="1" applyFill="1" applyBorder="1" applyProtection="1"/>
    <xf numFmtId="0" fontId="7" fillId="0" borderId="23" xfId="0" applyFont="1" applyFill="1" applyBorder="1" applyAlignment="1" applyProtection="1">
      <alignment vertical="center" wrapText="1"/>
    </xf>
    <xf numFmtId="0" fontId="7" fillId="0" borderId="24" xfId="0" applyFont="1" applyFill="1" applyBorder="1" applyAlignment="1" applyProtection="1">
      <alignment vertical="center" wrapText="1"/>
    </xf>
    <xf numFmtId="0" fontId="2" fillId="4" borderId="6" xfId="0" applyFont="1" applyFill="1" applyBorder="1" applyAlignment="1" applyProtection="1">
      <alignment horizontal="center"/>
    </xf>
    <xf numFmtId="0" fontId="7" fillId="4" borderId="7" xfId="0" applyFont="1" applyFill="1" applyBorder="1" applyProtection="1"/>
    <xf numFmtId="0" fontId="7" fillId="4" borderId="5" xfId="0" applyFont="1" applyFill="1" applyBorder="1" applyProtection="1"/>
    <xf numFmtId="0" fontId="7" fillId="4" borderId="9" xfId="0" applyFont="1" applyFill="1" applyBorder="1" applyProtection="1"/>
    <xf numFmtId="0" fontId="2" fillId="4" borderId="9" xfId="0" applyFont="1" applyFill="1" applyBorder="1" applyAlignment="1" applyProtection="1">
      <alignment horizontal="center"/>
    </xf>
    <xf numFmtId="0" fontId="2" fillId="4" borderId="6" xfId="0" applyFont="1" applyFill="1" applyBorder="1" applyProtection="1"/>
    <xf numFmtId="0" fontId="2" fillId="4" borderId="2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 vertical="center" wrapText="1"/>
    </xf>
    <xf numFmtId="0" fontId="7" fillId="0" borderId="0" xfId="0" applyFont="1" applyFill="1" applyBorder="1" applyProtection="1"/>
    <xf numFmtId="0" fontId="2" fillId="0" borderId="0" xfId="0" applyFont="1" applyFill="1" applyBorder="1" applyAlignment="1" applyProtection="1">
      <alignment horizontal="center"/>
    </xf>
    <xf numFmtId="1" fontId="0" fillId="0" borderId="0" xfId="0" applyNumberFormat="1" applyFill="1" applyProtection="1"/>
    <xf numFmtId="0" fontId="8" fillId="0" borderId="0" xfId="0" applyFont="1" applyFill="1" applyProtection="1"/>
    <xf numFmtId="0" fontId="1" fillId="0" borderId="0" xfId="0" applyFont="1" applyFill="1" applyAlignment="1" applyProtection="1">
      <alignment horizontal="center"/>
    </xf>
    <xf numFmtId="9" fontId="0" fillId="0" borderId="0" xfId="0" applyNumberFormat="1" applyFill="1" applyProtection="1"/>
    <xf numFmtId="4" fontId="0" fillId="0" borderId="0" xfId="0" applyNumberFormat="1" applyFill="1" applyProtection="1"/>
    <xf numFmtId="44" fontId="0" fillId="0" borderId="1" xfId="2" applyFont="1" applyFill="1" applyBorder="1" applyProtection="1"/>
    <xf numFmtId="0" fontId="0" fillId="0" borderId="0" xfId="0" applyFill="1" applyAlignment="1" applyProtection="1">
      <alignment horizontal="center"/>
    </xf>
    <xf numFmtId="0" fontId="2" fillId="0" borderId="0" xfId="0" applyFont="1" applyFill="1" applyProtection="1"/>
    <xf numFmtId="1" fontId="2" fillId="0" borderId="0" xfId="0" applyNumberFormat="1" applyFont="1" applyFill="1" applyProtection="1"/>
    <xf numFmtId="0" fontId="2" fillId="0" borderId="0" xfId="0" applyNumberFormat="1" applyFont="1" applyFill="1" applyProtection="1"/>
    <xf numFmtId="0" fontId="11" fillId="0" borderId="0" xfId="0" applyFont="1" applyFill="1" applyProtection="1"/>
    <xf numFmtId="1" fontId="1" fillId="0" borderId="0" xfId="0" applyNumberFormat="1" applyFont="1" applyFill="1" applyProtection="1"/>
    <xf numFmtId="1" fontId="1" fillId="0" borderId="0" xfId="1" applyNumberFormat="1" applyFill="1" applyProtection="1"/>
    <xf numFmtId="0" fontId="2" fillId="4" borderId="26" xfId="0" applyFont="1" applyFill="1" applyBorder="1" applyProtection="1"/>
    <xf numFmtId="0" fontId="2" fillId="4" borderId="27" xfId="0" applyFont="1" applyFill="1" applyBorder="1" applyProtection="1"/>
    <xf numFmtId="0" fontId="1" fillId="0" borderId="1" xfId="0" applyFont="1" applyFill="1" applyBorder="1" applyAlignment="1" applyProtection="1">
      <alignment horizontal="left" vertical="center"/>
    </xf>
    <xf numFmtId="14" fontId="0" fillId="0" borderId="1" xfId="0" applyNumberFormat="1" applyFill="1" applyBorder="1" applyAlignment="1" applyProtection="1">
      <alignment horizontal="right" vertical="center"/>
    </xf>
    <xf numFmtId="0" fontId="1" fillId="0" borderId="1" xfId="0" applyFont="1" applyFill="1" applyBorder="1" applyAlignment="1" applyProtection="1">
      <alignment horizontal="right" vertical="center"/>
    </xf>
    <xf numFmtId="0" fontId="1" fillId="0" borderId="1" xfId="0" applyFont="1" applyFill="1" applyBorder="1" applyAlignment="1" applyProtection="1">
      <alignment vertical="center"/>
    </xf>
    <xf numFmtId="0" fontId="2" fillId="4" borderId="5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1" fillId="0" borderId="10" xfId="0" applyFont="1" applyFill="1" applyBorder="1" applyAlignment="1" applyProtection="1">
      <alignment horizontal="center"/>
    </xf>
    <xf numFmtId="0" fontId="1" fillId="0" borderId="11" xfId="0" applyFont="1" applyFill="1" applyBorder="1" applyAlignment="1" applyProtection="1">
      <alignment horizontal="center"/>
    </xf>
    <xf numFmtId="0" fontId="1" fillId="0" borderId="12" xfId="0" applyFont="1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12" fillId="0" borderId="0" xfId="0" applyFont="1" applyFill="1" applyAlignment="1" applyProtection="1">
      <alignment horizontal="center" vertical="center"/>
    </xf>
    <xf numFmtId="0" fontId="4" fillId="3" borderId="0" xfId="0" applyFont="1" applyFill="1" applyBorder="1" applyAlignment="1" applyProtection="1">
      <alignment horizontal="center"/>
    </xf>
    <xf numFmtId="0" fontId="10" fillId="0" borderId="0" xfId="0" applyFont="1" applyFill="1" applyAlignment="1" applyProtection="1">
      <alignment horizontal="center"/>
    </xf>
  </cellXfs>
  <cellStyles count="4">
    <cellStyle name="Moeda" xfId="2" builtinId="4"/>
    <cellStyle name="Moeda 2" xfId="3" xr:uid="{E7AE49D6-2959-4FBC-9EF2-BEC3DE94E993}"/>
    <cellStyle name="Normal" xfId="0" builtinId="0"/>
    <cellStyle name="Normal 2" xfId="1" xr:uid="{5B7D37F6-E51E-406D-B2C1-08E072397E31}"/>
  </cellStyles>
  <dxfs count="21">
    <dxf>
      <font>
        <strike val="0"/>
        <outline val="0"/>
        <shadow val="0"/>
        <u val="none"/>
        <vertAlign val="baseline"/>
        <sz val="14"/>
        <color indexed="8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4"/>
        <color indexed="8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4"/>
        <color indexed="8"/>
        <name val="Calibri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4"/>
        <color indexed="8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 Light"/>
        <family val="2"/>
        <scheme val="major"/>
      </font>
      <fill>
        <patternFill patternType="none">
          <fgColor indexed="64"/>
          <bgColor indexed="65"/>
        </patternFill>
      </fill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theme="2" tint="-0.89996032593768116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8D3B3C"/>
        </patternFill>
      </fill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font>
        <b/>
        <i val="0"/>
        <color theme="0"/>
      </font>
      <fill>
        <patternFill>
          <bgColor rgb="FF8D3B3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2" defaultTableStyle="TableStyleMedium2" defaultPivotStyle="PivotStyleLight16">
    <tableStyle name="Estilo de Tabela 1" pivot="0" count="1" xr9:uid="{86DB01A4-FAFE-4F5B-871C-B69E9270DFF0}">
      <tableStyleElement type="headerRow" dxfId="20"/>
    </tableStyle>
    <tableStyle name="Estilo de Tabela 2" pivot="0" count="2" xr9:uid="{EDCD3782-6544-40FD-B38E-10BE46FC73E3}">
      <tableStyleElement type="wholeTable" dxfId="19"/>
      <tableStyleElement type="headerRow" dxfId="18"/>
    </tableStyle>
  </tableStyles>
  <colors>
    <mruColors>
      <color rgb="FF8D3B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[KA4 COM 02.00 Pedido de compra.xlsm]Analise!Tabela dinâmica1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</a:t>
            </a:r>
            <a:r>
              <a:rPr lang="en-US" baseline="0"/>
              <a:t> com Percentual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6B066B75-A978-4E81-8EDB-89E55B5257C4}" type="VALUE">
                  <a:rPr lang="en-US">
                    <a:solidFill>
                      <a:schemeClr val="bg1"/>
                    </a:solidFill>
                  </a:rPr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6A4396B6-C8BF-45B0-9A94-EE3266373EEB}" type="VALUE">
                  <a:rPr lang="en-US">
                    <a:solidFill>
                      <a:schemeClr val="bg1"/>
                    </a:solidFill>
                  </a:rPr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[VALOR]</a:t>
                </a:fld>
                <a:endParaRPr lang="pt-B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2188790319666472E-3"/>
              <c:y val="-6.54893425232771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8810272959627396E-2"/>
              <c:y val="-9.416325891237673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3.299698388289924E-2"/>
              <c:y val="2.850490276907518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Analise!$J$14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551-4BF4-895F-EB8BDF76CB1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ACD-422E-A255-71E8137EAAE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DACD-422E-A255-71E8137EAAE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0EA-40BE-850A-EAFA03358B8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0EA-40BE-850A-EAFA03358B8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0EA-40BE-850A-EAFA03358B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Analise!$I$15:$I$16</c:f>
              <c:strCache>
                <c:ptCount val="1"/>
                <c:pt idx="0">
                  <c:v>#N/D</c:v>
                </c:pt>
              </c:strCache>
            </c:strRef>
          </c:cat>
          <c:val>
            <c:numRef>
              <c:f>Analise!$J$15:$J$16</c:f>
              <c:numCache>
                <c:formatCode>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D-422E-A255-71E8137EAAE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[KA4 COM 02.00 Pedido de compra.xlsm]Analise!Tabela dinâmica2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Analise!$J$23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8A2-4A13-8B79-5610FD634760}"/>
              </c:ext>
            </c:extLst>
          </c:dPt>
          <c:cat>
            <c:strRef>
              <c:f>Analise!$I$24:$I$25</c:f>
              <c:strCache>
                <c:ptCount val="1"/>
                <c:pt idx="0">
                  <c:v>#N/D</c:v>
                </c:pt>
              </c:strCache>
            </c:strRef>
          </c:cat>
          <c:val>
            <c:numRef>
              <c:f>Analise!$J$24:$J$25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2-4A13-8B79-5610FD634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0804543"/>
        <c:axId val="370803295"/>
      </c:barChart>
      <c:catAx>
        <c:axId val="37080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0803295"/>
        <c:crosses val="autoZero"/>
        <c:auto val="1"/>
        <c:lblAlgn val="ctr"/>
        <c:lblOffset val="100"/>
        <c:noMultiLvlLbl val="0"/>
      </c:catAx>
      <c:valAx>
        <c:axId val="370803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0804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176893</xdr:colOff>
      <xdr:row>1</xdr:row>
      <xdr:rowOff>54429</xdr:rowOff>
    </xdr:from>
    <xdr:to>
      <xdr:col>15</xdr:col>
      <xdr:colOff>1043668</xdr:colOff>
      <xdr:row>5</xdr:row>
      <xdr:rowOff>88446</xdr:rowOff>
    </xdr:to>
    <xdr:sp macro="[0]!GerarRomaneio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233572" y="244929"/>
          <a:ext cx="866775" cy="809624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000"/>
        </a:p>
      </xdr:txBody>
    </xdr:sp>
    <xdr:clientData/>
  </xdr:twoCellAnchor>
  <xdr:twoCellAnchor editAs="oneCell">
    <xdr:from>
      <xdr:col>16</xdr:col>
      <xdr:colOff>288472</xdr:colOff>
      <xdr:row>4</xdr:row>
      <xdr:rowOff>123825</xdr:rowOff>
    </xdr:from>
    <xdr:to>
      <xdr:col>18</xdr:col>
      <xdr:colOff>266699</xdr:colOff>
      <xdr:row>5</xdr:row>
      <xdr:rowOff>197999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48022" y="885825"/>
          <a:ext cx="1197428" cy="274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333375</xdr:colOff>
      <xdr:row>2</xdr:row>
      <xdr:rowOff>46964</xdr:rowOff>
    </xdr:from>
    <xdr:to>
      <xdr:col>9</xdr:col>
      <xdr:colOff>866775</xdr:colOff>
      <xdr:row>7</xdr:row>
      <xdr:rowOff>96449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11296650" y="427964"/>
          <a:ext cx="1685925" cy="1001985"/>
          <a:chOff x="14054021" y="1019174"/>
          <a:chExt cx="1160656" cy="1001985"/>
        </a:xfrm>
      </xdr:grpSpPr>
      <xdr:sp macro="[0]!AtualizarDados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14054021" y="1019174"/>
            <a:ext cx="1160656" cy="1001985"/>
          </a:xfrm>
          <a:prstGeom prst="round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/>
              <a:t>Atualizar Análise</a:t>
            </a:r>
          </a:p>
        </xdr:txBody>
      </xdr:sp>
      <xdr:pic macro="[0]!AtualizarDados"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4453977" y="1491017"/>
            <a:ext cx="360744" cy="43815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93569</xdr:colOff>
      <xdr:row>2</xdr:row>
      <xdr:rowOff>108417</xdr:rowOff>
    </xdr:from>
    <xdr:to>
      <xdr:col>19</xdr:col>
      <xdr:colOff>523875</xdr:colOff>
      <xdr:row>17</xdr:row>
      <xdr:rowOff>161925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183774</xdr:colOff>
      <xdr:row>19</xdr:row>
      <xdr:rowOff>118221</xdr:rowOff>
    </xdr:from>
    <xdr:to>
      <xdr:col>19</xdr:col>
      <xdr:colOff>476250</xdr:colOff>
      <xdr:row>35</xdr:row>
      <xdr:rowOff>142875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95250</xdr:colOff>
          <xdr:row>1</xdr:row>
          <xdr:rowOff>28575</xdr:rowOff>
        </xdr:from>
        <xdr:to>
          <xdr:col>19</xdr:col>
          <xdr:colOff>219075</xdr:colOff>
          <xdr:row>3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Tabela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323849</xdr:colOff>
      <xdr:row>1</xdr:row>
      <xdr:rowOff>180976</xdr:rowOff>
    </xdr:from>
    <xdr:to>
      <xdr:col>6</xdr:col>
      <xdr:colOff>409574</xdr:colOff>
      <xdr:row>4</xdr:row>
      <xdr:rowOff>152400</xdr:rowOff>
    </xdr:to>
    <xdr:sp macro="[0]!Davi3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6515099" y="371476"/>
          <a:ext cx="866775" cy="809624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000"/>
        </a:p>
      </xdr:txBody>
    </xdr:sp>
    <xdr:clientData/>
  </xdr:twoCellAnchor>
  <xdr:oneCellAnchor>
    <xdr:from>
      <xdr:col>6</xdr:col>
      <xdr:colOff>495300</xdr:colOff>
      <xdr:row>1</xdr:row>
      <xdr:rowOff>123825</xdr:rowOff>
    </xdr:from>
    <xdr:ext cx="1977977" cy="843693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5800725" y="314325"/>
          <a:ext cx="1977977" cy="843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/>
            <a:t>Pressione </a:t>
          </a:r>
        </a:p>
        <a:p>
          <a:r>
            <a:rPr lang="pt-BR" sz="2400" b="1"/>
            <a:t>para Atualizar</a:t>
          </a:r>
        </a:p>
      </xdr:txBody>
    </xdr:sp>
    <xdr:clientData/>
  </xdr:oneCellAnchor>
  <xdr:twoCellAnchor editAs="oneCell">
    <xdr:from>
      <xdr:col>1</xdr:col>
      <xdr:colOff>47625</xdr:colOff>
      <xdr:row>1</xdr:row>
      <xdr:rowOff>28575</xdr:rowOff>
    </xdr:from>
    <xdr:to>
      <xdr:col>1</xdr:col>
      <xdr:colOff>1114425</xdr:colOff>
      <xdr:row>1</xdr:row>
      <xdr:rowOff>294609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" y="219075"/>
          <a:ext cx="1066800" cy="2660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turno\DADOS\PCP\1-Acompanhamento%20Di&#225;ri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PUBLICO\Controle%20estqoue%20de%20Aneis%2011.02.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calização"/>
      <sheetName val="duplo check"/>
      <sheetName val="finalizados"/>
      <sheetName val="Carlos"/>
      <sheetName val="AG PINO-TRAVA"/>
      <sheetName val="bd"/>
    </sheetNames>
    <sheetDataSet>
      <sheetData sheetId="0">
        <row r="1">
          <cell r="A1" t="str">
            <v>Código (SKU)</v>
          </cell>
          <cell r="B1" t="str">
            <v xml:space="preserve"> </v>
          </cell>
          <cell r="C1" t="str">
            <v>OF</v>
          </cell>
          <cell r="D1" t="str">
            <v>Data de Entrada</v>
          </cell>
          <cell r="E1" t="str">
            <v>Em Produção</v>
          </cell>
          <cell r="F1" t="str">
            <v>OP05
Encaixe</v>
          </cell>
          <cell r="G1" t="str">
            <v>OP10
Canaletas</v>
          </cell>
          <cell r="H1" t="str">
            <v>OP20 
Camara</v>
          </cell>
          <cell r="I1" t="str">
            <v>OP30
Rem.  Massalote</v>
          </cell>
          <cell r="J1" t="str">
            <v>OP40
Mandrilha</v>
          </cell>
          <cell r="K1" t="str">
            <v>OP45
Retrabalho</v>
          </cell>
          <cell r="L1" t="str">
            <v>OP50
Furo Óleo</v>
          </cell>
          <cell r="M1" t="str">
            <v>OP60
TPS</v>
          </cell>
          <cell r="N1" t="str">
            <v>OP70 
Rebarbação</v>
          </cell>
          <cell r="O1" t="str">
            <v>OP80
Gravação</v>
          </cell>
          <cell r="P1" t="str">
            <v>OP100
Montagem</v>
          </cell>
          <cell r="Q1" t="str">
            <v>Finalizado</v>
          </cell>
          <cell r="R1" t="str">
            <v>Localização PCP Geral</v>
          </cell>
        </row>
        <row r="2">
          <cell r="A2" t="str">
            <v>P 2000 - 1,00</v>
          </cell>
          <cell r="B2" t="str">
            <v>MF1-2020-A1</v>
          </cell>
          <cell r="C2">
            <v>9100</v>
          </cell>
          <cell r="D2">
            <v>45723</v>
          </cell>
          <cell r="E2">
            <v>180</v>
          </cell>
          <cell r="F2"/>
          <cell r="G2"/>
          <cell r="H2"/>
          <cell r="I2"/>
          <cell r="J2">
            <v>180</v>
          </cell>
          <cell r="K2"/>
          <cell r="L2">
            <v>180</v>
          </cell>
          <cell r="M2"/>
          <cell r="N2"/>
          <cell r="O2"/>
          <cell r="P2"/>
          <cell r="Q2"/>
          <cell r="R2" t="str">
            <v xml:space="preserve">
Furo Óleo</v>
          </cell>
        </row>
        <row r="3">
          <cell r="A3" t="str">
            <v>P 2001 - 0,50</v>
          </cell>
          <cell r="B3" t="str">
            <v>MF1-2020-A3</v>
          </cell>
          <cell r="C3">
            <v>9289</v>
          </cell>
          <cell r="D3">
            <v>45754</v>
          </cell>
          <cell r="E3">
            <v>180</v>
          </cell>
          <cell r="F3"/>
          <cell r="G3"/>
          <cell r="H3"/>
          <cell r="I3"/>
          <cell r="J3"/>
          <cell r="K3"/>
          <cell r="L3"/>
          <cell r="M3"/>
          <cell r="N3"/>
          <cell r="O3"/>
          <cell r="P3">
            <v>175</v>
          </cell>
          <cell r="Q3"/>
          <cell r="R3" t="str">
            <v xml:space="preserve">
Montagem</v>
          </cell>
        </row>
        <row r="4">
          <cell r="A4" t="str">
            <v>P 2002 - 1,00</v>
          </cell>
          <cell r="B4" t="str">
            <v>MF2-2032-A1</v>
          </cell>
          <cell r="C4">
            <v>9266</v>
          </cell>
          <cell r="D4">
            <v>45749</v>
          </cell>
          <cell r="E4">
            <v>165</v>
          </cell>
          <cell r="F4"/>
          <cell r="G4"/>
          <cell r="H4"/>
          <cell r="I4"/>
          <cell r="J4"/>
          <cell r="K4"/>
          <cell r="L4">
            <v>154</v>
          </cell>
          <cell r="M4">
            <v>154</v>
          </cell>
          <cell r="N4"/>
          <cell r="O4"/>
          <cell r="P4">
            <v>154</v>
          </cell>
          <cell r="Q4"/>
          <cell r="R4" t="str">
            <v xml:space="preserve">
Montagem</v>
          </cell>
        </row>
        <row r="5">
          <cell r="A5" t="str">
            <v>P 2005 - STD</v>
          </cell>
          <cell r="B5" t="str">
            <v/>
          </cell>
          <cell r="C5">
            <v>8957</v>
          </cell>
          <cell r="D5">
            <v>45701</v>
          </cell>
          <cell r="E5">
            <v>180</v>
          </cell>
          <cell r="F5"/>
          <cell r="G5"/>
          <cell r="H5"/>
          <cell r="I5"/>
          <cell r="J5"/>
          <cell r="K5"/>
          <cell r="L5"/>
          <cell r="M5"/>
          <cell r="N5"/>
          <cell r="O5"/>
          <cell r="P5"/>
          <cell r="Q5"/>
          <cell r="R5" t="str">
            <v>aguardando torno</v>
          </cell>
        </row>
        <row r="6">
          <cell r="A6" t="str">
            <v>P 2014 - 1,00</v>
          </cell>
          <cell r="B6" t="str">
            <v>MF2-2014-A1</v>
          </cell>
          <cell r="C6">
            <v>9236</v>
          </cell>
          <cell r="D6">
            <v>45741</v>
          </cell>
          <cell r="E6">
            <v>180</v>
          </cell>
          <cell r="F6"/>
          <cell r="G6"/>
          <cell r="H6"/>
          <cell r="I6"/>
          <cell r="J6"/>
          <cell r="K6"/>
          <cell r="L6"/>
          <cell r="M6"/>
          <cell r="N6"/>
          <cell r="O6"/>
          <cell r="P6"/>
          <cell r="Q6"/>
          <cell r="R6" t="str">
            <v>aguardando torno</v>
          </cell>
        </row>
        <row r="7">
          <cell r="A7" t="str">
            <v>P 2014 - STD</v>
          </cell>
          <cell r="B7" t="str">
            <v>MF2-2014-A1</v>
          </cell>
          <cell r="C7">
            <v>9230</v>
          </cell>
          <cell r="D7">
            <v>45741</v>
          </cell>
          <cell r="E7">
            <v>180</v>
          </cell>
          <cell r="F7"/>
          <cell r="G7"/>
          <cell r="H7"/>
          <cell r="I7"/>
          <cell r="J7"/>
          <cell r="K7"/>
          <cell r="L7"/>
          <cell r="M7"/>
          <cell r="N7"/>
          <cell r="O7"/>
          <cell r="P7"/>
          <cell r="Q7"/>
          <cell r="R7" t="str">
            <v>aguardando torno</v>
          </cell>
        </row>
        <row r="8">
          <cell r="A8" t="str">
            <v>P 2020 - 0,50</v>
          </cell>
          <cell r="B8" t="str">
            <v>MF1-2020-A1</v>
          </cell>
          <cell r="C8">
            <v>9282</v>
          </cell>
          <cell r="D8">
            <v>45754</v>
          </cell>
          <cell r="E8">
            <v>221</v>
          </cell>
          <cell r="F8"/>
          <cell r="G8"/>
          <cell r="H8">
            <v>221</v>
          </cell>
          <cell r="I8"/>
          <cell r="J8">
            <v>221</v>
          </cell>
          <cell r="K8"/>
          <cell r="L8"/>
          <cell r="M8"/>
          <cell r="N8"/>
          <cell r="O8"/>
          <cell r="P8">
            <v>221</v>
          </cell>
          <cell r="Q8"/>
          <cell r="R8" t="str">
            <v xml:space="preserve">
Montagem</v>
          </cell>
        </row>
        <row r="9">
          <cell r="A9" t="str">
            <v>P 2021 - 1,00</v>
          </cell>
          <cell r="B9" t="str">
            <v>MF1-2036-A1</v>
          </cell>
          <cell r="C9">
            <v>9326</v>
          </cell>
          <cell r="D9">
            <v>45757</v>
          </cell>
          <cell r="E9">
            <v>180</v>
          </cell>
          <cell r="F9"/>
          <cell r="G9">
            <v>180</v>
          </cell>
          <cell r="H9"/>
          <cell r="I9"/>
          <cell r="J9"/>
          <cell r="K9"/>
          <cell r="L9"/>
          <cell r="M9"/>
          <cell r="N9"/>
          <cell r="O9"/>
          <cell r="P9"/>
          <cell r="Q9"/>
          <cell r="R9" t="str">
            <v xml:space="preserve">
Canaletas</v>
          </cell>
        </row>
        <row r="10">
          <cell r="A10" t="str">
            <v>P 2021 - STD</v>
          </cell>
          <cell r="B10" t="str">
            <v>MF1-2036-A1</v>
          </cell>
          <cell r="C10">
            <v>9334</v>
          </cell>
          <cell r="D10">
            <v>45757</v>
          </cell>
          <cell r="E10">
            <v>180</v>
          </cell>
          <cell r="F10"/>
          <cell r="G10">
            <v>180</v>
          </cell>
          <cell r="H10"/>
          <cell r="I10"/>
          <cell r="J10"/>
          <cell r="K10"/>
          <cell r="L10"/>
          <cell r="M10"/>
          <cell r="N10"/>
          <cell r="O10"/>
          <cell r="P10"/>
          <cell r="Q10"/>
          <cell r="R10" t="str">
            <v xml:space="preserve">
Canaletas</v>
          </cell>
        </row>
        <row r="11">
          <cell r="A11" t="str">
            <v>P 2029 - 0,50</v>
          </cell>
          <cell r="B11" t="str">
            <v>MF2-2014-B1</v>
          </cell>
          <cell r="C11">
            <v>9342</v>
          </cell>
          <cell r="D11">
            <v>45754</v>
          </cell>
          <cell r="E11">
            <v>180</v>
          </cell>
          <cell r="F11"/>
          <cell r="G11">
            <v>175</v>
          </cell>
          <cell r="H11"/>
          <cell r="I11"/>
          <cell r="J11"/>
          <cell r="K11"/>
          <cell r="L11"/>
          <cell r="M11"/>
          <cell r="N11"/>
          <cell r="O11"/>
          <cell r="P11"/>
          <cell r="Q11"/>
          <cell r="R11" t="str">
            <v xml:space="preserve">
Canaletas</v>
          </cell>
        </row>
        <row r="12">
          <cell r="A12" t="str">
            <v>P 2029 - STD</v>
          </cell>
          <cell r="B12" t="str">
            <v>MF2-2014-B1</v>
          </cell>
          <cell r="C12">
            <v>9235</v>
          </cell>
          <cell r="D12">
            <v>45741</v>
          </cell>
          <cell r="E12">
            <v>150</v>
          </cell>
          <cell r="F12"/>
          <cell r="G12">
            <v>150</v>
          </cell>
          <cell r="H12"/>
          <cell r="I12"/>
          <cell r="J12"/>
          <cell r="K12"/>
          <cell r="L12"/>
          <cell r="M12"/>
          <cell r="N12"/>
          <cell r="O12"/>
          <cell r="P12"/>
          <cell r="Q12"/>
          <cell r="R12" t="str">
            <v xml:space="preserve">
Canaletas</v>
          </cell>
        </row>
        <row r="13">
          <cell r="A13" t="str">
            <v>P 2031 - 1,00</v>
          </cell>
          <cell r="B13" t="str">
            <v>MF2-2014-A2</v>
          </cell>
          <cell r="C13">
            <v>9032</v>
          </cell>
          <cell r="D13">
            <v>45709</v>
          </cell>
          <cell r="E13">
            <v>180</v>
          </cell>
          <cell r="F13"/>
          <cell r="G13">
            <v>180</v>
          </cell>
          <cell r="H13"/>
          <cell r="I13"/>
          <cell r="J13"/>
          <cell r="K13"/>
          <cell r="L13"/>
          <cell r="M13">
            <v>163</v>
          </cell>
          <cell r="N13"/>
          <cell r="O13"/>
          <cell r="P13"/>
          <cell r="Q13"/>
          <cell r="R13" t="str">
            <v xml:space="preserve">
TPS</v>
          </cell>
        </row>
        <row r="14">
          <cell r="A14" t="str">
            <v>P 2034 - STD</v>
          </cell>
          <cell r="B14" t="str">
            <v>MF2-2032-B3</v>
          </cell>
          <cell r="C14">
            <v>9088</v>
          </cell>
          <cell r="D14">
            <v>45723</v>
          </cell>
          <cell r="E14">
            <v>180</v>
          </cell>
          <cell r="F14"/>
          <cell r="G14"/>
          <cell r="H14"/>
          <cell r="I14"/>
          <cell r="J14"/>
          <cell r="K14"/>
          <cell r="L14"/>
          <cell r="M14"/>
          <cell r="N14"/>
          <cell r="O14"/>
          <cell r="P14"/>
          <cell r="Q14"/>
          <cell r="R14" t="str">
            <v>aguardando torno</v>
          </cell>
        </row>
        <row r="15">
          <cell r="A15" t="str">
            <v>P 2035 - STD</v>
          </cell>
          <cell r="B15" t="str">
            <v>MF1-2035-A1</v>
          </cell>
          <cell r="C15">
            <v>9350</v>
          </cell>
          <cell r="D15">
            <v>45763</v>
          </cell>
          <cell r="E15">
            <v>200</v>
          </cell>
          <cell r="F15"/>
          <cell r="G15"/>
          <cell r="H15"/>
          <cell r="I15"/>
          <cell r="J15">
            <v>196</v>
          </cell>
          <cell r="K15"/>
          <cell r="L15"/>
          <cell r="M15"/>
          <cell r="N15"/>
          <cell r="O15"/>
          <cell r="P15"/>
          <cell r="Q15"/>
          <cell r="R15" t="str">
            <v xml:space="preserve">
Mandrilha</v>
          </cell>
        </row>
        <row r="16">
          <cell r="A16" t="str">
            <v>P 2041 - 0,50</v>
          </cell>
          <cell r="B16" t="str">
            <v>MF1-2035-A1</v>
          </cell>
          <cell r="C16">
            <v>9288</v>
          </cell>
          <cell r="D16">
            <v>45754</v>
          </cell>
          <cell r="E16">
            <v>180</v>
          </cell>
          <cell r="F16"/>
          <cell r="G16"/>
          <cell r="H16"/>
          <cell r="I16"/>
          <cell r="J16"/>
          <cell r="K16"/>
          <cell r="L16"/>
          <cell r="M16"/>
          <cell r="N16"/>
          <cell r="O16"/>
          <cell r="P16">
            <v>166</v>
          </cell>
          <cell r="Q16"/>
          <cell r="R16" t="str">
            <v xml:space="preserve">
Montagem</v>
          </cell>
        </row>
        <row r="17">
          <cell r="A17" t="str">
            <v>P 2047 - 0,50</v>
          </cell>
          <cell r="B17" t="str">
            <v>MF1-2047-C1</v>
          </cell>
          <cell r="C17">
            <v>9148</v>
          </cell>
          <cell r="D17">
            <v>45730</v>
          </cell>
          <cell r="E17">
            <v>203</v>
          </cell>
          <cell r="F17"/>
          <cell r="G17"/>
          <cell r="H17"/>
          <cell r="I17"/>
          <cell r="J17"/>
          <cell r="K17"/>
          <cell r="L17"/>
          <cell r="M17"/>
          <cell r="N17"/>
          <cell r="O17"/>
          <cell r="P17"/>
          <cell r="Q17"/>
          <cell r="R17" t="str">
            <v>aguardando torno</v>
          </cell>
        </row>
        <row r="18">
          <cell r="A18" t="str">
            <v>P 2059 - 0,50</v>
          </cell>
          <cell r="B18" t="str">
            <v>MF1-2047-D2</v>
          </cell>
          <cell r="C18">
            <v>9337</v>
          </cell>
          <cell r="D18">
            <v>45757</v>
          </cell>
          <cell r="E18">
            <v>164</v>
          </cell>
          <cell r="F18"/>
          <cell r="G18"/>
          <cell r="H18"/>
          <cell r="I18"/>
          <cell r="J18"/>
          <cell r="K18"/>
          <cell r="L18"/>
          <cell r="M18"/>
          <cell r="N18"/>
          <cell r="O18"/>
          <cell r="P18"/>
          <cell r="Q18"/>
          <cell r="R18" t="str">
            <v>aguardando torno</v>
          </cell>
        </row>
        <row r="19">
          <cell r="A19" t="str">
            <v>P 2061 - 0,40</v>
          </cell>
          <cell r="B19" t="str">
            <v>MF1-2036-C1</v>
          </cell>
          <cell r="C19">
            <v>9183</v>
          </cell>
          <cell r="D19">
            <v>45734</v>
          </cell>
          <cell r="E19">
            <v>128</v>
          </cell>
          <cell r="F19"/>
          <cell r="G19"/>
          <cell r="H19"/>
          <cell r="I19"/>
          <cell r="J19"/>
          <cell r="K19"/>
          <cell r="L19"/>
          <cell r="M19"/>
          <cell r="N19"/>
          <cell r="O19"/>
          <cell r="P19"/>
          <cell r="Q19"/>
          <cell r="R19" t="str">
            <v>aguardando torno</v>
          </cell>
        </row>
        <row r="20">
          <cell r="A20" t="str">
            <v>P 2064 - 1,00</v>
          </cell>
          <cell r="B20" t="str">
            <v>MF1-2020-A1</v>
          </cell>
          <cell r="C20">
            <v>9290</v>
          </cell>
          <cell r="D20">
            <v>45754</v>
          </cell>
          <cell r="E20">
            <v>349</v>
          </cell>
          <cell r="F20"/>
          <cell r="G20"/>
          <cell r="H20"/>
          <cell r="I20"/>
          <cell r="J20">
            <v>349</v>
          </cell>
          <cell r="K20"/>
          <cell r="L20"/>
          <cell r="M20">
            <v>349</v>
          </cell>
          <cell r="N20"/>
          <cell r="O20"/>
          <cell r="P20">
            <v>344</v>
          </cell>
          <cell r="Q20"/>
          <cell r="R20" t="str">
            <v xml:space="preserve">
Montagem</v>
          </cell>
        </row>
        <row r="21">
          <cell r="A21" t="str">
            <v>P 2065 - 0,50</v>
          </cell>
          <cell r="B21" t="str">
            <v>MF1-2047-D2</v>
          </cell>
          <cell r="C21">
            <v>9020</v>
          </cell>
          <cell r="D21">
            <v>45709</v>
          </cell>
          <cell r="E21">
            <v>181</v>
          </cell>
          <cell r="F21"/>
          <cell r="G21">
            <v>178</v>
          </cell>
          <cell r="H21"/>
          <cell r="I21"/>
          <cell r="J21"/>
          <cell r="K21"/>
          <cell r="L21"/>
          <cell r="M21"/>
          <cell r="N21"/>
          <cell r="O21"/>
          <cell r="P21"/>
          <cell r="Q21"/>
          <cell r="R21" t="str">
            <v xml:space="preserve">
Canaletas</v>
          </cell>
        </row>
        <row r="22">
          <cell r="A22" t="str">
            <v>P 2065 - 1,00</v>
          </cell>
          <cell r="B22" t="str">
            <v>MF1-2047-D2</v>
          </cell>
          <cell r="C22">
            <v>9336</v>
          </cell>
          <cell r="D22">
            <v>45757</v>
          </cell>
          <cell r="E22">
            <v>174</v>
          </cell>
          <cell r="F22"/>
          <cell r="G22">
            <v>170</v>
          </cell>
          <cell r="H22"/>
          <cell r="I22"/>
          <cell r="J22"/>
          <cell r="K22"/>
          <cell r="L22"/>
          <cell r="M22"/>
          <cell r="N22"/>
          <cell r="O22"/>
          <cell r="P22"/>
          <cell r="Q22"/>
          <cell r="R22" t="str">
            <v xml:space="preserve">
Canaletas</v>
          </cell>
        </row>
        <row r="23">
          <cell r="A23" t="str">
            <v>P 2068 - STD</v>
          </cell>
          <cell r="B23" t="str">
            <v>MF2-2093-A6</v>
          </cell>
          <cell r="C23">
            <v>9287</v>
          </cell>
          <cell r="D23">
            <v>45754</v>
          </cell>
          <cell r="E23">
            <v>208</v>
          </cell>
          <cell r="F23"/>
          <cell r="G23"/>
          <cell r="H23"/>
          <cell r="I23"/>
          <cell r="J23"/>
          <cell r="K23"/>
          <cell r="L23"/>
          <cell r="M23">
            <v>178</v>
          </cell>
          <cell r="N23"/>
          <cell r="O23"/>
          <cell r="P23">
            <v>178</v>
          </cell>
          <cell r="Q23"/>
          <cell r="R23" t="str">
            <v xml:space="preserve">
Montagem</v>
          </cell>
        </row>
        <row r="24">
          <cell r="A24" t="str">
            <v>P 2076 - 0,40</v>
          </cell>
          <cell r="B24" t="str">
            <v>MF1-2004-A2</v>
          </cell>
          <cell r="C24">
            <v>9267</v>
          </cell>
          <cell r="D24">
            <v>45749</v>
          </cell>
          <cell r="E24">
            <v>300</v>
          </cell>
          <cell r="F24"/>
          <cell r="G24">
            <v>300</v>
          </cell>
          <cell r="H24"/>
          <cell r="I24"/>
          <cell r="J24"/>
          <cell r="K24"/>
          <cell r="L24"/>
          <cell r="M24">
            <v>300</v>
          </cell>
          <cell r="N24"/>
          <cell r="O24"/>
          <cell r="P24">
            <v>300</v>
          </cell>
          <cell r="Q24"/>
          <cell r="R24" t="str">
            <v xml:space="preserve">
Montagem</v>
          </cell>
        </row>
        <row r="25">
          <cell r="A25" t="str">
            <v>P 2078 - 0,50</v>
          </cell>
          <cell r="B25" t="str">
            <v>MF1-2035-A1</v>
          </cell>
          <cell r="C25">
            <v>9265</v>
          </cell>
          <cell r="D25">
            <v>45749</v>
          </cell>
          <cell r="E25">
            <v>325</v>
          </cell>
          <cell r="F25"/>
          <cell r="G25">
            <v>317</v>
          </cell>
          <cell r="H25"/>
          <cell r="I25"/>
          <cell r="J25">
            <v>317</v>
          </cell>
          <cell r="K25"/>
          <cell r="L25"/>
          <cell r="M25"/>
          <cell r="N25"/>
          <cell r="O25"/>
          <cell r="P25">
            <v>291</v>
          </cell>
          <cell r="Q25"/>
          <cell r="R25" t="str">
            <v xml:space="preserve">
Montagem</v>
          </cell>
        </row>
        <row r="26">
          <cell r="A26" t="str">
            <v>P 2080 - 0,40</v>
          </cell>
          <cell r="B26" t="str">
            <v>MF1-2036-C3</v>
          </cell>
          <cell r="C26">
            <v>9285</v>
          </cell>
          <cell r="D26">
            <v>45754</v>
          </cell>
          <cell r="E26">
            <v>193</v>
          </cell>
          <cell r="F26"/>
          <cell r="G26"/>
          <cell r="H26"/>
          <cell r="I26"/>
          <cell r="J26"/>
          <cell r="K26"/>
          <cell r="L26"/>
          <cell r="M26"/>
          <cell r="N26"/>
          <cell r="O26"/>
          <cell r="P26"/>
          <cell r="Q26"/>
          <cell r="R26" t="str">
            <v>aguardando torno</v>
          </cell>
        </row>
        <row r="27">
          <cell r="A27" t="str">
            <v>P 2083 - 0,40</v>
          </cell>
          <cell r="B27" t="str">
            <v>MF2-2032-C2</v>
          </cell>
          <cell r="C27">
            <v>9021</v>
          </cell>
          <cell r="D27">
            <v>45709</v>
          </cell>
          <cell r="E27">
            <v>193</v>
          </cell>
          <cell r="F27"/>
          <cell r="G27"/>
          <cell r="H27">
            <v>193</v>
          </cell>
          <cell r="I27"/>
          <cell r="J27"/>
          <cell r="K27"/>
          <cell r="L27"/>
          <cell r="M27"/>
          <cell r="N27"/>
          <cell r="O27"/>
          <cell r="P27"/>
          <cell r="Q27"/>
          <cell r="R27" t="str">
            <v xml:space="preserve"> 
Camara</v>
          </cell>
        </row>
        <row r="28">
          <cell r="A28" t="str">
            <v>P 2083 - 0,60</v>
          </cell>
          <cell r="B28" t="str">
            <v>MF2-2032-C2</v>
          </cell>
          <cell r="C28">
            <v>9022</v>
          </cell>
          <cell r="D28">
            <v>45709</v>
          </cell>
          <cell r="E28">
            <v>215</v>
          </cell>
          <cell r="F28"/>
          <cell r="G28"/>
          <cell r="H28"/>
          <cell r="I28"/>
          <cell r="J28"/>
          <cell r="K28"/>
          <cell r="L28"/>
          <cell r="M28"/>
          <cell r="N28"/>
          <cell r="O28"/>
          <cell r="P28"/>
          <cell r="Q28"/>
          <cell r="R28" t="str">
            <v>aguardando torno</v>
          </cell>
        </row>
        <row r="29">
          <cell r="A29" t="str">
            <v>P 2086 - STD</v>
          </cell>
          <cell r="B29" t="str">
            <v>MF1-2035-A1</v>
          </cell>
          <cell r="C29">
            <v>9286</v>
          </cell>
          <cell r="D29">
            <v>45754</v>
          </cell>
          <cell r="E29">
            <v>190</v>
          </cell>
          <cell r="F29"/>
          <cell r="G29">
            <v>190</v>
          </cell>
          <cell r="H29"/>
          <cell r="I29"/>
          <cell r="J29"/>
          <cell r="K29"/>
          <cell r="L29">
            <v>166</v>
          </cell>
          <cell r="M29"/>
          <cell r="N29"/>
          <cell r="O29"/>
          <cell r="P29">
            <v>152</v>
          </cell>
          <cell r="Q29"/>
          <cell r="R29" t="str">
            <v xml:space="preserve">
Montagem</v>
          </cell>
        </row>
        <row r="30">
          <cell r="A30" t="str">
            <v>P 2087 - 0,50</v>
          </cell>
          <cell r="B30" t="str">
            <v/>
          </cell>
          <cell r="C30">
            <v>8950</v>
          </cell>
          <cell r="D30">
            <v>45701</v>
          </cell>
          <cell r="E30">
            <v>286</v>
          </cell>
          <cell r="F30"/>
          <cell r="G30"/>
          <cell r="H30"/>
          <cell r="I30"/>
          <cell r="J30">
            <v>150</v>
          </cell>
          <cell r="K30"/>
          <cell r="L30">
            <v>150</v>
          </cell>
          <cell r="M30">
            <v>150</v>
          </cell>
          <cell r="N30"/>
          <cell r="O30"/>
          <cell r="P30"/>
          <cell r="Q30"/>
          <cell r="R30" t="str">
            <v xml:space="preserve">
TPS</v>
          </cell>
        </row>
        <row r="31">
          <cell r="A31" t="str">
            <v>P 2090 - 0,50</v>
          </cell>
          <cell r="B31" t="str">
            <v>MF1-2020-A2</v>
          </cell>
          <cell r="C31">
            <v>9322</v>
          </cell>
          <cell r="D31">
            <v>45757</v>
          </cell>
          <cell r="E31">
            <v>265</v>
          </cell>
          <cell r="F31"/>
          <cell r="G31"/>
          <cell r="H31"/>
          <cell r="I31"/>
          <cell r="J31"/>
          <cell r="K31"/>
          <cell r="L31"/>
          <cell r="M31"/>
          <cell r="N31"/>
          <cell r="O31"/>
          <cell r="P31"/>
          <cell r="Q31"/>
          <cell r="R31" t="str">
            <v>aguardando torno</v>
          </cell>
        </row>
        <row r="32">
          <cell r="A32" t="str">
            <v>P 2090 - STD</v>
          </cell>
          <cell r="B32" t="str">
            <v>MF1-2020-A2</v>
          </cell>
          <cell r="C32">
            <v>9312</v>
          </cell>
          <cell r="D32">
            <v>45757</v>
          </cell>
          <cell r="E32">
            <v>300</v>
          </cell>
          <cell r="F32"/>
          <cell r="G32"/>
          <cell r="H32"/>
          <cell r="I32"/>
          <cell r="J32">
            <v>293</v>
          </cell>
          <cell r="K32"/>
          <cell r="L32"/>
          <cell r="M32"/>
          <cell r="N32"/>
          <cell r="O32"/>
          <cell r="P32"/>
          <cell r="Q32"/>
          <cell r="R32" t="str">
            <v xml:space="preserve">
Mandrilha</v>
          </cell>
        </row>
        <row r="33">
          <cell r="A33" t="str">
            <v>P 2092 - 0,50</v>
          </cell>
          <cell r="B33" t="str">
            <v>MF1-2020-A2</v>
          </cell>
          <cell r="C33">
            <v>9324</v>
          </cell>
          <cell r="D33">
            <v>45757</v>
          </cell>
          <cell r="E33">
            <v>192</v>
          </cell>
          <cell r="F33"/>
          <cell r="G33">
            <v>192</v>
          </cell>
          <cell r="H33"/>
          <cell r="I33"/>
          <cell r="J33">
            <v>192</v>
          </cell>
          <cell r="K33"/>
          <cell r="L33"/>
          <cell r="M33"/>
          <cell r="N33"/>
          <cell r="O33"/>
          <cell r="P33"/>
          <cell r="Q33"/>
          <cell r="R33" t="str">
            <v xml:space="preserve">
Mandrilha</v>
          </cell>
        </row>
        <row r="34">
          <cell r="A34" t="str">
            <v>P 2092 - STD</v>
          </cell>
          <cell r="B34" t="str">
            <v>MF1-2020-A2</v>
          </cell>
          <cell r="C34">
            <v>9325</v>
          </cell>
          <cell r="D34">
            <v>45757</v>
          </cell>
          <cell r="E34">
            <v>161</v>
          </cell>
          <cell r="F34"/>
          <cell r="G34"/>
          <cell r="H34"/>
          <cell r="I34"/>
          <cell r="J34"/>
          <cell r="K34"/>
          <cell r="L34"/>
          <cell r="M34"/>
          <cell r="N34"/>
          <cell r="O34"/>
          <cell r="P34"/>
          <cell r="Q34"/>
          <cell r="R34" t="str">
            <v>aguardando torno</v>
          </cell>
        </row>
        <row r="35">
          <cell r="A35" t="str">
            <v>P 2093 - 0,60</v>
          </cell>
          <cell r="B35" t="str">
            <v>MF2-2093-A1</v>
          </cell>
          <cell r="C35">
            <v>9328</v>
          </cell>
          <cell r="D35">
            <v>45757</v>
          </cell>
          <cell r="E35">
            <v>180</v>
          </cell>
          <cell r="F35"/>
          <cell r="G35">
            <v>180</v>
          </cell>
          <cell r="H35"/>
          <cell r="I35"/>
          <cell r="J35"/>
          <cell r="K35"/>
          <cell r="L35"/>
          <cell r="M35"/>
          <cell r="N35"/>
          <cell r="O35"/>
          <cell r="P35"/>
          <cell r="Q35"/>
          <cell r="R35" t="str">
            <v xml:space="preserve">
Canaletas</v>
          </cell>
        </row>
        <row r="36">
          <cell r="A36" t="str">
            <v>P 2093 - STD</v>
          </cell>
          <cell r="B36" t="str">
            <v>MF2-2093-A1</v>
          </cell>
          <cell r="C36">
            <v>9327</v>
          </cell>
          <cell r="D36">
            <v>45757</v>
          </cell>
          <cell r="E36">
            <v>262</v>
          </cell>
          <cell r="F36"/>
          <cell r="G36">
            <v>262</v>
          </cell>
          <cell r="H36"/>
          <cell r="I36"/>
          <cell r="J36">
            <v>262</v>
          </cell>
          <cell r="K36"/>
          <cell r="L36"/>
          <cell r="M36"/>
          <cell r="N36"/>
          <cell r="O36"/>
          <cell r="P36"/>
          <cell r="Q36"/>
          <cell r="R36" t="str">
            <v xml:space="preserve">
Mandrilha</v>
          </cell>
        </row>
        <row r="37">
          <cell r="A37" t="str">
            <v>P 2098 - STD</v>
          </cell>
          <cell r="B37" t="str">
            <v>MF1-2161-E1</v>
          </cell>
          <cell r="C37">
            <v>9335</v>
          </cell>
          <cell r="D37">
            <v>45757</v>
          </cell>
          <cell r="E37">
            <v>180</v>
          </cell>
          <cell r="F37"/>
          <cell r="G37">
            <v>176</v>
          </cell>
          <cell r="H37"/>
          <cell r="I37"/>
          <cell r="J37"/>
          <cell r="K37"/>
          <cell r="L37"/>
          <cell r="M37"/>
          <cell r="N37"/>
          <cell r="O37"/>
          <cell r="P37"/>
          <cell r="Q37"/>
          <cell r="R37" t="str">
            <v xml:space="preserve">
Canaletas</v>
          </cell>
        </row>
        <row r="38">
          <cell r="A38" t="str">
            <v>P 2132 - 0,40</v>
          </cell>
          <cell r="B38" t="str">
            <v>MF2-2093-A3</v>
          </cell>
          <cell r="C38">
            <v>9284</v>
          </cell>
          <cell r="D38">
            <v>45754</v>
          </cell>
          <cell r="E38">
            <v>150</v>
          </cell>
          <cell r="F38"/>
          <cell r="G38">
            <v>149</v>
          </cell>
          <cell r="H38"/>
          <cell r="I38"/>
          <cell r="J38"/>
          <cell r="K38"/>
          <cell r="L38"/>
          <cell r="M38"/>
          <cell r="N38"/>
          <cell r="O38"/>
          <cell r="P38">
            <v>138</v>
          </cell>
          <cell r="Q38"/>
          <cell r="R38" t="str">
            <v xml:space="preserve">
Montagem</v>
          </cell>
        </row>
        <row r="39">
          <cell r="A39" t="str">
            <v>P 2134 - 0,50</v>
          </cell>
          <cell r="B39" t="str">
            <v>MF1-2134-A1</v>
          </cell>
          <cell r="C39">
            <v>9376</v>
          </cell>
          <cell r="D39">
            <v>45763</v>
          </cell>
          <cell r="E39">
            <v>200</v>
          </cell>
          <cell r="F39"/>
          <cell r="G39"/>
          <cell r="H39"/>
          <cell r="I39"/>
          <cell r="J39"/>
          <cell r="K39"/>
          <cell r="L39"/>
          <cell r="M39"/>
          <cell r="N39"/>
          <cell r="O39"/>
          <cell r="P39"/>
          <cell r="Q39"/>
          <cell r="R39" t="str">
            <v>aguardando torno</v>
          </cell>
        </row>
        <row r="40">
          <cell r="A40" t="str">
            <v>P 2136 - 0,40</v>
          </cell>
          <cell r="B40" t="str">
            <v>MF2-2093-A2</v>
          </cell>
          <cell r="C40">
            <v>9178</v>
          </cell>
          <cell r="D40">
            <v>45734</v>
          </cell>
          <cell r="E40">
            <v>230</v>
          </cell>
          <cell r="F40"/>
          <cell r="G40"/>
          <cell r="H40"/>
          <cell r="I40"/>
          <cell r="J40"/>
          <cell r="K40"/>
          <cell r="L40"/>
          <cell r="M40"/>
          <cell r="N40"/>
          <cell r="O40"/>
          <cell r="P40"/>
          <cell r="Q40"/>
          <cell r="R40" t="str">
            <v>aguardando torno</v>
          </cell>
        </row>
        <row r="41">
          <cell r="A41" t="str">
            <v>P 2151 - 0,50</v>
          </cell>
          <cell r="B41" t="str">
            <v>MF1-2089-B1</v>
          </cell>
          <cell r="C41">
            <v>9283</v>
          </cell>
          <cell r="D41">
            <v>45754</v>
          </cell>
          <cell r="E41">
            <v>211</v>
          </cell>
          <cell r="F41"/>
          <cell r="G41"/>
          <cell r="H41"/>
          <cell r="I41"/>
          <cell r="J41">
            <v>204</v>
          </cell>
          <cell r="K41"/>
          <cell r="L41"/>
          <cell r="M41"/>
          <cell r="N41"/>
          <cell r="O41"/>
          <cell r="P41"/>
          <cell r="Q41"/>
          <cell r="R41" t="str">
            <v xml:space="preserve">
Mandrilha</v>
          </cell>
        </row>
        <row r="42">
          <cell r="A42" t="str">
            <v>P 2174 - STD</v>
          </cell>
          <cell r="B42" t="str">
            <v>MF1-2161-A2</v>
          </cell>
          <cell r="C42">
            <v>9081</v>
          </cell>
          <cell r="D42">
            <v>45723</v>
          </cell>
          <cell r="E42">
            <v>180</v>
          </cell>
          <cell r="F42"/>
          <cell r="G42"/>
          <cell r="H42"/>
          <cell r="I42"/>
          <cell r="J42">
            <v>160</v>
          </cell>
          <cell r="K42"/>
          <cell r="L42"/>
          <cell r="M42">
            <v>159</v>
          </cell>
          <cell r="N42"/>
          <cell r="O42"/>
          <cell r="P42">
            <v>81</v>
          </cell>
          <cell r="Q42"/>
          <cell r="R42" t="str">
            <v xml:space="preserve">
Montagem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 Locação em Estoque"/>
    </sheetNames>
    <sheetDataSet>
      <sheetData sheetId="0">
        <row r="7">
          <cell r="B7" t="str">
            <v>AS70001 - 0,40</v>
          </cell>
          <cell r="C7">
            <v>4</v>
          </cell>
          <cell r="D7" t="str">
            <v>FIAT</v>
          </cell>
          <cell r="E7">
            <v>70.400000000000006</v>
          </cell>
          <cell r="F7">
            <v>0.4</v>
          </cell>
          <cell r="G7" t="str">
            <v>E4</v>
          </cell>
        </row>
        <row r="8">
          <cell r="B8" t="str">
            <v>AS70001 - 0,40</v>
          </cell>
          <cell r="C8">
            <v>4</v>
          </cell>
          <cell r="D8" t="str">
            <v>FIAT</v>
          </cell>
          <cell r="E8">
            <v>70.400000000000006</v>
          </cell>
          <cell r="F8">
            <v>0.4</v>
          </cell>
          <cell r="G8" t="str">
            <v>E3E</v>
          </cell>
        </row>
        <row r="9">
          <cell r="B9" t="str">
            <v>AS76002 - 0,40</v>
          </cell>
          <cell r="C9">
            <v>4</v>
          </cell>
          <cell r="D9" t="str">
            <v>FIAT</v>
          </cell>
          <cell r="E9">
            <v>76.400000000000006</v>
          </cell>
          <cell r="F9">
            <v>0.4</v>
          </cell>
          <cell r="G9" t="str">
            <v>E6E</v>
          </cell>
        </row>
        <row r="10">
          <cell r="B10" t="str">
            <v>AS76002 - 0,40</v>
          </cell>
          <cell r="C10">
            <v>4</v>
          </cell>
          <cell r="D10" t="str">
            <v>FIAT</v>
          </cell>
          <cell r="E10">
            <v>76.400000000000006</v>
          </cell>
          <cell r="F10">
            <v>0.4</v>
          </cell>
          <cell r="G10" t="str">
            <v>E7D</v>
          </cell>
        </row>
        <row r="11">
          <cell r="B11" t="str">
            <v>AS70001 - 0,60</v>
          </cell>
          <cell r="C11">
            <v>4</v>
          </cell>
          <cell r="D11" t="str">
            <v>FIAT</v>
          </cell>
          <cell r="E11">
            <v>70.599999999999994</v>
          </cell>
          <cell r="F11">
            <v>0.6</v>
          </cell>
          <cell r="G11" t="str">
            <v>E5E</v>
          </cell>
        </row>
        <row r="12">
          <cell r="B12" t="str">
            <v>AS70001 - 0,40</v>
          </cell>
          <cell r="C12">
            <v>4</v>
          </cell>
          <cell r="D12" t="str">
            <v>FIAT</v>
          </cell>
          <cell r="E12">
            <v>70.400000000000006</v>
          </cell>
          <cell r="F12">
            <v>0.4</v>
          </cell>
          <cell r="G12" t="str">
            <v>E5D</v>
          </cell>
        </row>
        <row r="13">
          <cell r="B13" t="str">
            <v>AS76002 - 0,60</v>
          </cell>
          <cell r="C13">
            <v>4</v>
          </cell>
          <cell r="D13" t="str">
            <v>FIAT</v>
          </cell>
          <cell r="E13">
            <v>76.599999999999994</v>
          </cell>
          <cell r="F13">
            <v>0.6</v>
          </cell>
          <cell r="G13" t="str">
            <v>E7E</v>
          </cell>
        </row>
        <row r="14">
          <cell r="B14" t="str">
            <v>AS76002 - STD</v>
          </cell>
          <cell r="C14">
            <v>4</v>
          </cell>
          <cell r="D14" t="str">
            <v>FIAT</v>
          </cell>
          <cell r="E14">
            <v>76</v>
          </cell>
          <cell r="F14" t="str">
            <v>STD</v>
          </cell>
          <cell r="G14" t="str">
            <v>E6D</v>
          </cell>
        </row>
        <row r="15">
          <cell r="B15" t="str">
            <v>AS70001 - STD</v>
          </cell>
          <cell r="C15">
            <v>4</v>
          </cell>
          <cell r="D15" t="str">
            <v>FIAT</v>
          </cell>
          <cell r="E15">
            <v>70</v>
          </cell>
          <cell r="F15" t="str">
            <v>STD</v>
          </cell>
          <cell r="G15" t="str">
            <v>E2E</v>
          </cell>
        </row>
        <row r="16">
          <cell r="B16" t="str">
            <v>AS70001 - STD</v>
          </cell>
          <cell r="C16">
            <v>4</v>
          </cell>
          <cell r="D16" t="str">
            <v>FIAT</v>
          </cell>
          <cell r="E16">
            <v>70</v>
          </cell>
          <cell r="F16" t="str">
            <v>STD</v>
          </cell>
          <cell r="G16" t="str">
            <v>E3D</v>
          </cell>
        </row>
        <row r="17">
          <cell r="B17" t="str">
            <v>AS72001 - 0,50</v>
          </cell>
          <cell r="C17">
            <v>3</v>
          </cell>
          <cell r="D17" t="str">
            <v>FORD</v>
          </cell>
          <cell r="E17">
            <v>72.400000000000006</v>
          </cell>
          <cell r="F17">
            <v>0.5</v>
          </cell>
          <cell r="G17" t="str">
            <v>G2E</v>
          </cell>
        </row>
        <row r="18">
          <cell r="B18" t="str">
            <v>AS72001 - 1,00</v>
          </cell>
          <cell r="C18">
            <v>3</v>
          </cell>
          <cell r="D18" t="str">
            <v>FORD</v>
          </cell>
          <cell r="E18">
            <v>72.900000000000006</v>
          </cell>
          <cell r="F18">
            <v>1</v>
          </cell>
          <cell r="G18" t="str">
            <v>H1D</v>
          </cell>
        </row>
        <row r="19">
          <cell r="B19" t="str">
            <v>AS72001 - STD</v>
          </cell>
          <cell r="C19">
            <v>3</v>
          </cell>
          <cell r="D19" t="str">
            <v>FORD</v>
          </cell>
          <cell r="E19">
            <v>71.900000000000006</v>
          </cell>
          <cell r="F19" t="str">
            <v>STD</v>
          </cell>
          <cell r="G19" t="str">
            <v>G2D</v>
          </cell>
        </row>
        <row r="20">
          <cell r="B20" t="str">
            <v>AS69001 - 1,00</v>
          </cell>
          <cell r="C20">
            <v>4</v>
          </cell>
          <cell r="D20" t="str">
            <v>FORD</v>
          </cell>
          <cell r="E20">
            <v>69.680000000000007</v>
          </cell>
          <cell r="F20">
            <v>1</v>
          </cell>
          <cell r="G20" t="str">
            <v>G1E</v>
          </cell>
        </row>
        <row r="21">
          <cell r="B21" t="str">
            <v>AS69001 - 0,50</v>
          </cell>
          <cell r="C21">
            <v>4</v>
          </cell>
          <cell r="D21" t="str">
            <v>FORD</v>
          </cell>
          <cell r="E21">
            <v>69.180000000000007</v>
          </cell>
          <cell r="F21">
            <v>0.5</v>
          </cell>
          <cell r="G21" t="str">
            <v>G1M</v>
          </cell>
        </row>
        <row r="22">
          <cell r="B22" t="str">
            <v>AS69001 - STD</v>
          </cell>
          <cell r="C22">
            <v>4</v>
          </cell>
          <cell r="D22" t="str">
            <v>FORD</v>
          </cell>
          <cell r="E22">
            <v>68.680000000000007</v>
          </cell>
          <cell r="F22" t="str">
            <v>STD</v>
          </cell>
          <cell r="G22" t="str">
            <v>G1D</v>
          </cell>
        </row>
        <row r="23">
          <cell r="B23" t="str">
            <v>AS86001 - 0,50</v>
          </cell>
          <cell r="C23">
            <v>4</v>
          </cell>
          <cell r="D23" t="str">
            <v>GM</v>
          </cell>
          <cell r="E23">
            <v>86.5</v>
          </cell>
          <cell r="F23">
            <v>0.5</v>
          </cell>
          <cell r="G23" t="str">
            <v>D2</v>
          </cell>
        </row>
        <row r="24">
          <cell r="B24" t="str">
            <v>AS86001 - 0,50</v>
          </cell>
          <cell r="C24">
            <v>4</v>
          </cell>
          <cell r="D24" t="str">
            <v>GM</v>
          </cell>
          <cell r="E24">
            <v>86.5</v>
          </cell>
          <cell r="F24">
            <v>0.5</v>
          </cell>
          <cell r="G24" t="str">
            <v>D3</v>
          </cell>
        </row>
        <row r="25">
          <cell r="B25" t="str">
            <v>AS81003 - 0,50</v>
          </cell>
          <cell r="C25">
            <v>4</v>
          </cell>
          <cell r="D25" t="str">
            <v>GM</v>
          </cell>
          <cell r="E25">
            <v>81</v>
          </cell>
          <cell r="F25">
            <v>0.5</v>
          </cell>
          <cell r="G25" t="str">
            <v>E1</v>
          </cell>
        </row>
        <row r="26">
          <cell r="B26" t="str">
            <v>AS81003 - 0,50</v>
          </cell>
          <cell r="C26">
            <v>4</v>
          </cell>
          <cell r="D26" t="str">
            <v>GM</v>
          </cell>
          <cell r="E26">
            <v>81</v>
          </cell>
          <cell r="F26">
            <v>0.5</v>
          </cell>
          <cell r="G26" t="str">
            <v>D8</v>
          </cell>
        </row>
        <row r="27">
          <cell r="B27" t="str">
            <v>AS71002 - 0,50</v>
          </cell>
          <cell r="C27">
            <v>4</v>
          </cell>
          <cell r="D27" t="str">
            <v>GM</v>
          </cell>
          <cell r="E27">
            <v>71.5</v>
          </cell>
          <cell r="F27">
            <v>0.5</v>
          </cell>
          <cell r="G27" t="str">
            <v>D5E</v>
          </cell>
        </row>
        <row r="28">
          <cell r="B28" t="str">
            <v>sem código ainda</v>
          </cell>
          <cell r="C28">
            <v>3</v>
          </cell>
          <cell r="D28" t="str">
            <v>GM</v>
          </cell>
          <cell r="E28">
            <v>74</v>
          </cell>
          <cell r="F28" t="str">
            <v>STD</v>
          </cell>
          <cell r="G28" t="str">
            <v>I1E</v>
          </cell>
        </row>
        <row r="29">
          <cell r="B29" t="str">
            <v>sem código ainda</v>
          </cell>
          <cell r="C29">
            <v>3</v>
          </cell>
          <cell r="D29" t="str">
            <v>GM</v>
          </cell>
          <cell r="E29">
            <v>74.5</v>
          </cell>
          <cell r="F29">
            <v>0.5</v>
          </cell>
          <cell r="G29" t="str">
            <v>I2D</v>
          </cell>
        </row>
        <row r="30">
          <cell r="B30" t="str">
            <v>sem código ainda</v>
          </cell>
          <cell r="C30">
            <v>3</v>
          </cell>
          <cell r="D30" t="str">
            <v>GM</v>
          </cell>
          <cell r="E30">
            <v>75</v>
          </cell>
          <cell r="F30">
            <v>1</v>
          </cell>
          <cell r="G30" t="str">
            <v>I2E</v>
          </cell>
        </row>
        <row r="31">
          <cell r="B31" t="str">
            <v>AS86001 - 1,00</v>
          </cell>
          <cell r="C31">
            <v>4</v>
          </cell>
          <cell r="D31" t="str">
            <v>GM</v>
          </cell>
          <cell r="E31">
            <v>87</v>
          </cell>
          <cell r="F31">
            <v>1</v>
          </cell>
          <cell r="G31" t="str">
            <v>D4</v>
          </cell>
        </row>
        <row r="32">
          <cell r="B32" t="str">
            <v>AS71002 - STD</v>
          </cell>
          <cell r="C32">
            <v>4</v>
          </cell>
          <cell r="D32" t="str">
            <v>GM</v>
          </cell>
          <cell r="E32">
            <v>71</v>
          </cell>
          <cell r="F32" t="str">
            <v>STD</v>
          </cell>
          <cell r="G32" t="str">
            <v>D5D</v>
          </cell>
        </row>
        <row r="33">
          <cell r="B33" t="str">
            <v>AS71002 - 0,50</v>
          </cell>
          <cell r="C33">
            <v>4</v>
          </cell>
          <cell r="D33" t="str">
            <v>GM</v>
          </cell>
          <cell r="E33">
            <v>71.5</v>
          </cell>
          <cell r="F33">
            <v>0.5</v>
          </cell>
          <cell r="G33" t="str">
            <v>D6D</v>
          </cell>
        </row>
        <row r="34">
          <cell r="B34" t="str">
            <v>AS86001 - STD</v>
          </cell>
          <cell r="C34">
            <v>4</v>
          </cell>
          <cell r="D34" t="str">
            <v>GM</v>
          </cell>
          <cell r="E34">
            <v>86</v>
          </cell>
          <cell r="F34" t="str">
            <v>STD</v>
          </cell>
          <cell r="G34" t="str">
            <v>D1D</v>
          </cell>
        </row>
        <row r="35">
          <cell r="B35" t="str">
            <v>AS71002 - 1,00</v>
          </cell>
          <cell r="C35">
            <v>4</v>
          </cell>
          <cell r="D35" t="str">
            <v>GM</v>
          </cell>
          <cell r="E35">
            <v>72</v>
          </cell>
          <cell r="F35">
            <v>1</v>
          </cell>
          <cell r="G35" t="str">
            <v>D6E</v>
          </cell>
        </row>
        <row r="36">
          <cell r="B36" t="str">
            <v>AS81003 - STD</v>
          </cell>
          <cell r="C36">
            <v>4</v>
          </cell>
          <cell r="D36" t="str">
            <v>GM</v>
          </cell>
          <cell r="E36">
            <v>80.5</v>
          </cell>
          <cell r="F36" t="str">
            <v>STD</v>
          </cell>
          <cell r="G36" t="str">
            <v>D7D</v>
          </cell>
        </row>
        <row r="37">
          <cell r="B37" t="str">
            <v>AS81003 - 1,00</v>
          </cell>
          <cell r="C37">
            <v>4</v>
          </cell>
          <cell r="D37" t="str">
            <v>GM</v>
          </cell>
          <cell r="E37">
            <v>81.5</v>
          </cell>
          <cell r="F37">
            <v>1</v>
          </cell>
          <cell r="G37" t="str">
            <v>E2D</v>
          </cell>
        </row>
        <row r="38">
          <cell r="B38" t="str">
            <v>AS81003 - 0,50</v>
          </cell>
          <cell r="C38">
            <v>4</v>
          </cell>
          <cell r="D38" t="str">
            <v>GM</v>
          </cell>
          <cell r="E38">
            <v>81</v>
          </cell>
          <cell r="F38">
            <v>0.5</v>
          </cell>
          <cell r="G38" t="str">
            <v>D7E</v>
          </cell>
        </row>
        <row r="39">
          <cell r="B39" t="str">
            <v>AS86001 - 0,50</v>
          </cell>
          <cell r="C39">
            <v>4</v>
          </cell>
          <cell r="D39" t="str">
            <v>GM</v>
          </cell>
          <cell r="E39">
            <v>86.5</v>
          </cell>
          <cell r="F39">
            <v>0.5</v>
          </cell>
          <cell r="G39" t="str">
            <v>D1E</v>
          </cell>
        </row>
        <row r="40">
          <cell r="B40" t="str">
            <v>AS71003 - 0,50</v>
          </cell>
          <cell r="C40">
            <v>3</v>
          </cell>
          <cell r="D40" t="str">
            <v>HYUNDAI</v>
          </cell>
          <cell r="E40">
            <v>71.5</v>
          </cell>
          <cell r="F40">
            <v>0.5</v>
          </cell>
          <cell r="G40" t="str">
            <v>H2</v>
          </cell>
        </row>
        <row r="41">
          <cell r="B41" t="str">
            <v>AS71003 - 1,00</v>
          </cell>
          <cell r="C41">
            <v>3</v>
          </cell>
          <cell r="D41" t="str">
            <v>HYUNDAI</v>
          </cell>
          <cell r="E41">
            <v>72</v>
          </cell>
          <cell r="F41">
            <v>1</v>
          </cell>
          <cell r="G41" t="str">
            <v>I1D</v>
          </cell>
        </row>
        <row r="42">
          <cell r="B42" t="str">
            <v>AS71003 - STD</v>
          </cell>
          <cell r="C42">
            <v>3</v>
          </cell>
          <cell r="D42" t="str">
            <v>HYUNDAI</v>
          </cell>
          <cell r="E42">
            <v>71</v>
          </cell>
          <cell r="F42" t="str">
            <v>STD</v>
          </cell>
          <cell r="G42" t="str">
            <v>H1E</v>
          </cell>
        </row>
        <row r="43">
          <cell r="B43" t="str">
            <v>AS71001 - STD</v>
          </cell>
          <cell r="C43">
            <v>3</v>
          </cell>
          <cell r="D43" t="str">
            <v>RENAULT</v>
          </cell>
          <cell r="E43">
            <v>71</v>
          </cell>
          <cell r="F43" t="str">
            <v>STD</v>
          </cell>
          <cell r="G43" t="str">
            <v>C7E</v>
          </cell>
        </row>
        <row r="44">
          <cell r="B44" t="str">
            <v>AS71001 - 0,50</v>
          </cell>
          <cell r="C44">
            <v>3</v>
          </cell>
          <cell r="D44" t="str">
            <v>RENAULT</v>
          </cell>
          <cell r="E44">
            <v>71.5</v>
          </cell>
          <cell r="F44">
            <v>0.5</v>
          </cell>
          <cell r="G44" t="str">
            <v>C8D</v>
          </cell>
        </row>
        <row r="45">
          <cell r="B45" t="str">
            <v>AS71001 - 1,00</v>
          </cell>
          <cell r="C45">
            <v>3</v>
          </cell>
          <cell r="D45" t="str">
            <v>RENAULT</v>
          </cell>
          <cell r="E45">
            <v>72</v>
          </cell>
          <cell r="F45">
            <v>1</v>
          </cell>
          <cell r="G45" t="str">
            <v>C8E</v>
          </cell>
        </row>
        <row r="46">
          <cell r="B46" t="str">
            <v>AS67001 - 0,50</v>
          </cell>
          <cell r="C46">
            <v>4</v>
          </cell>
          <cell r="D46" t="str">
            <v>VW</v>
          </cell>
          <cell r="E46">
            <v>67.5</v>
          </cell>
          <cell r="F46">
            <v>0.5</v>
          </cell>
          <cell r="G46" t="str">
            <v>A3</v>
          </cell>
        </row>
        <row r="47">
          <cell r="B47" t="str">
            <v>AS67001 - 0,50</v>
          </cell>
          <cell r="C47">
            <v>4</v>
          </cell>
          <cell r="D47" t="str">
            <v>VW</v>
          </cell>
          <cell r="E47">
            <v>67.5</v>
          </cell>
          <cell r="F47">
            <v>0.5</v>
          </cell>
          <cell r="G47" t="str">
            <v>A4</v>
          </cell>
        </row>
        <row r="48">
          <cell r="B48" t="str">
            <v>AS67001 - 0,50</v>
          </cell>
          <cell r="C48">
            <v>4</v>
          </cell>
          <cell r="D48" t="str">
            <v>VW</v>
          </cell>
          <cell r="E48">
            <v>67.5</v>
          </cell>
          <cell r="F48">
            <v>0.5</v>
          </cell>
          <cell r="G48" t="str">
            <v>A5</v>
          </cell>
        </row>
        <row r="49">
          <cell r="B49" t="str">
            <v>AS67001 - 1,00</v>
          </cell>
          <cell r="C49">
            <v>4</v>
          </cell>
          <cell r="D49" t="str">
            <v>VW</v>
          </cell>
          <cell r="E49">
            <v>68</v>
          </cell>
          <cell r="F49">
            <v>1</v>
          </cell>
          <cell r="G49" t="str">
            <v>A6</v>
          </cell>
        </row>
        <row r="50">
          <cell r="B50" t="str">
            <v>AS67001 - 1,00</v>
          </cell>
          <cell r="C50">
            <v>4</v>
          </cell>
          <cell r="D50" t="str">
            <v>VW</v>
          </cell>
          <cell r="E50">
            <v>68</v>
          </cell>
          <cell r="F50">
            <v>1</v>
          </cell>
          <cell r="G50" t="str">
            <v>A7</v>
          </cell>
        </row>
        <row r="51">
          <cell r="B51" t="str">
            <v>AS67001 - STD</v>
          </cell>
          <cell r="C51">
            <v>4</v>
          </cell>
          <cell r="D51" t="str">
            <v>VW</v>
          </cell>
          <cell r="E51">
            <v>67.099999999999994</v>
          </cell>
          <cell r="F51" t="str">
            <v>STD</v>
          </cell>
          <cell r="G51" t="str">
            <v>A1</v>
          </cell>
        </row>
        <row r="52">
          <cell r="B52" t="str">
            <v>AS67001 - STD</v>
          </cell>
          <cell r="C52">
            <v>4</v>
          </cell>
          <cell r="D52" t="str">
            <v>VW</v>
          </cell>
          <cell r="E52">
            <v>67.099999999999994</v>
          </cell>
          <cell r="F52" t="str">
            <v>STD</v>
          </cell>
          <cell r="G52" t="str">
            <v>A2</v>
          </cell>
        </row>
        <row r="53">
          <cell r="B53" t="str">
            <v>AS82001 - 0,50</v>
          </cell>
          <cell r="C53">
            <v>4</v>
          </cell>
          <cell r="D53" t="str">
            <v>VW</v>
          </cell>
          <cell r="E53">
            <v>83</v>
          </cell>
          <cell r="F53">
            <v>0.5</v>
          </cell>
          <cell r="G53" t="str">
            <v>F1</v>
          </cell>
        </row>
        <row r="54">
          <cell r="B54" t="str">
            <v>AS76001 - 0,50</v>
          </cell>
          <cell r="C54">
            <v>4</v>
          </cell>
          <cell r="D54" t="str">
            <v>VW</v>
          </cell>
          <cell r="E54">
            <v>77</v>
          </cell>
          <cell r="F54">
            <v>0.5</v>
          </cell>
          <cell r="G54" t="str">
            <v>B2</v>
          </cell>
        </row>
        <row r="55">
          <cell r="B55" t="str">
            <v>AS81002 - 1,00</v>
          </cell>
          <cell r="C55">
            <v>4</v>
          </cell>
          <cell r="D55" t="str">
            <v>VW</v>
          </cell>
          <cell r="E55">
            <v>82.5</v>
          </cell>
          <cell r="F55">
            <v>1</v>
          </cell>
          <cell r="G55" t="str">
            <v>C5</v>
          </cell>
        </row>
        <row r="56">
          <cell r="B56" t="str">
            <v>AS81002 - 0,50</v>
          </cell>
          <cell r="C56">
            <v>4</v>
          </cell>
          <cell r="D56" t="str">
            <v>VW</v>
          </cell>
          <cell r="E56">
            <v>81.5</v>
          </cell>
          <cell r="F56">
            <v>0.5</v>
          </cell>
          <cell r="G56" t="str">
            <v>C3</v>
          </cell>
        </row>
        <row r="57">
          <cell r="B57" t="str">
            <v>AS81001 - 0,50</v>
          </cell>
          <cell r="C57">
            <v>4</v>
          </cell>
          <cell r="D57" t="str">
            <v>VW</v>
          </cell>
          <cell r="E57">
            <v>81.5</v>
          </cell>
          <cell r="F57">
            <v>0.5</v>
          </cell>
          <cell r="G57" t="str">
            <v>B8</v>
          </cell>
        </row>
        <row r="58">
          <cell r="B58" t="str">
            <v>AS81001 - 0,50</v>
          </cell>
          <cell r="C58">
            <v>4</v>
          </cell>
          <cell r="D58" t="str">
            <v>VW</v>
          </cell>
          <cell r="E58">
            <v>81.5</v>
          </cell>
          <cell r="F58">
            <v>0.5</v>
          </cell>
          <cell r="G58" t="str">
            <v>B7</v>
          </cell>
        </row>
        <row r="59">
          <cell r="B59" t="str">
            <v>AS83001 - 0,50</v>
          </cell>
          <cell r="C59">
            <v>4</v>
          </cell>
          <cell r="D59" t="str">
            <v>VW</v>
          </cell>
          <cell r="E59">
            <v>83</v>
          </cell>
          <cell r="F59">
            <v>0.5</v>
          </cell>
          <cell r="G59" t="str">
            <v>B5</v>
          </cell>
        </row>
        <row r="60">
          <cell r="B60" t="str">
            <v>AS75001 - STD</v>
          </cell>
          <cell r="C60">
            <v>3</v>
          </cell>
          <cell r="D60" t="str">
            <v>VW</v>
          </cell>
          <cell r="E60">
            <v>74.5</v>
          </cell>
          <cell r="F60" t="str">
            <v>STD</v>
          </cell>
          <cell r="G60" t="str">
            <v>C6D</v>
          </cell>
        </row>
        <row r="61">
          <cell r="B61" t="str">
            <v>AS75001 - 0,50</v>
          </cell>
          <cell r="C61">
            <v>3</v>
          </cell>
          <cell r="D61" t="str">
            <v>VW</v>
          </cell>
          <cell r="E61">
            <v>75</v>
          </cell>
          <cell r="F61">
            <v>0.5</v>
          </cell>
          <cell r="G61" t="str">
            <v>C6E</v>
          </cell>
        </row>
        <row r="62">
          <cell r="B62" t="str">
            <v>AS75001 - 1,00</v>
          </cell>
          <cell r="C62">
            <v>3</v>
          </cell>
          <cell r="D62" t="str">
            <v>VW</v>
          </cell>
          <cell r="E62">
            <v>75.5</v>
          </cell>
          <cell r="F62">
            <v>1</v>
          </cell>
          <cell r="G62" t="str">
            <v>C7D</v>
          </cell>
        </row>
        <row r="63">
          <cell r="B63" t="str">
            <v>AS67002 - 0,50</v>
          </cell>
          <cell r="C63">
            <v>4</v>
          </cell>
          <cell r="D63" t="str">
            <v>VW</v>
          </cell>
          <cell r="E63">
            <v>67.5</v>
          </cell>
          <cell r="F63">
            <v>0.5</v>
          </cell>
          <cell r="G63" t="str">
            <v>A8E</v>
          </cell>
        </row>
        <row r="64">
          <cell r="B64" t="str">
            <v>AS67002 - STD</v>
          </cell>
          <cell r="C64">
            <v>4</v>
          </cell>
          <cell r="D64" t="str">
            <v>VW</v>
          </cell>
          <cell r="E64">
            <v>67.099999999999994</v>
          </cell>
          <cell r="F64" t="str">
            <v>STD</v>
          </cell>
          <cell r="G64" t="str">
            <v>A8D</v>
          </cell>
        </row>
        <row r="65">
          <cell r="B65" t="str">
            <v>AS67002 - 1,00</v>
          </cell>
          <cell r="C65">
            <v>4</v>
          </cell>
          <cell r="D65" t="str">
            <v>VW</v>
          </cell>
          <cell r="E65">
            <v>68</v>
          </cell>
          <cell r="F65">
            <v>1</v>
          </cell>
          <cell r="G65" t="str">
            <v>B1D</v>
          </cell>
        </row>
        <row r="66">
          <cell r="B66" t="str">
            <v>AS67002 - STD</v>
          </cell>
          <cell r="C66">
            <v>4</v>
          </cell>
          <cell r="D66" t="str">
            <v>VW</v>
          </cell>
          <cell r="E66">
            <v>76.5</v>
          </cell>
          <cell r="F66" t="str">
            <v>STD</v>
          </cell>
          <cell r="G66" t="str">
            <v>B1E</v>
          </cell>
        </row>
        <row r="67">
          <cell r="B67" t="str">
            <v>AS67002 - 1,00</v>
          </cell>
          <cell r="C67">
            <v>4</v>
          </cell>
          <cell r="D67" t="str">
            <v>VW</v>
          </cell>
          <cell r="E67">
            <v>77.5</v>
          </cell>
          <cell r="F67">
            <v>1</v>
          </cell>
          <cell r="G67" t="str">
            <v>B3E</v>
          </cell>
        </row>
        <row r="68">
          <cell r="B68" t="str">
            <v>AS83001 - STD</v>
          </cell>
          <cell r="C68">
            <v>4</v>
          </cell>
          <cell r="D68" t="str">
            <v>VW</v>
          </cell>
          <cell r="E68">
            <v>82.5</v>
          </cell>
          <cell r="F68" t="str">
            <v>STD</v>
          </cell>
          <cell r="G68" t="str">
            <v>B4</v>
          </cell>
        </row>
        <row r="69">
          <cell r="B69" t="str">
            <v>AS81001 - STD</v>
          </cell>
          <cell r="C69">
            <v>4</v>
          </cell>
          <cell r="D69" t="str">
            <v>VW</v>
          </cell>
          <cell r="E69">
            <v>81</v>
          </cell>
          <cell r="F69" t="str">
            <v>STD</v>
          </cell>
          <cell r="G69" t="str">
            <v>B6</v>
          </cell>
        </row>
        <row r="70">
          <cell r="B70" t="str">
            <v>AS81001 - 1,00</v>
          </cell>
          <cell r="C70">
            <v>4</v>
          </cell>
          <cell r="D70" t="str">
            <v>VW</v>
          </cell>
          <cell r="E70">
            <v>82</v>
          </cell>
          <cell r="F70">
            <v>1</v>
          </cell>
          <cell r="G70" t="str">
            <v>C1E</v>
          </cell>
        </row>
        <row r="71">
          <cell r="B71" t="str">
            <v>AS81002 - STD</v>
          </cell>
          <cell r="C71">
            <v>4</v>
          </cell>
          <cell r="D71" t="str">
            <v>VW</v>
          </cell>
          <cell r="E71">
            <v>81</v>
          </cell>
          <cell r="F71" t="str">
            <v>STD</v>
          </cell>
          <cell r="G71" t="str">
            <v>C2</v>
          </cell>
        </row>
        <row r="72">
          <cell r="B72" t="str">
            <v>AS82001 - STD</v>
          </cell>
          <cell r="C72">
            <v>4</v>
          </cell>
          <cell r="D72" t="str">
            <v>VW</v>
          </cell>
          <cell r="E72">
            <v>82.5</v>
          </cell>
          <cell r="F72" t="str">
            <v>STD</v>
          </cell>
          <cell r="G72" t="str">
            <v>E8</v>
          </cell>
        </row>
        <row r="73">
          <cell r="B73" t="str">
            <v>AS82001 - 1,00</v>
          </cell>
          <cell r="C73">
            <v>4</v>
          </cell>
          <cell r="D73" t="str">
            <v>VW</v>
          </cell>
          <cell r="E73">
            <v>83.5</v>
          </cell>
          <cell r="F73">
            <v>1</v>
          </cell>
          <cell r="G73" t="str">
            <v>F2</v>
          </cell>
        </row>
        <row r="74">
          <cell r="B74" t="str">
            <v>AS76001 - 0,50</v>
          </cell>
          <cell r="C74">
            <v>4</v>
          </cell>
          <cell r="D74" t="str">
            <v>VW</v>
          </cell>
          <cell r="E74">
            <v>77</v>
          </cell>
          <cell r="F74">
            <v>0.5</v>
          </cell>
          <cell r="G74" t="str">
            <v>B3D</v>
          </cell>
        </row>
        <row r="75">
          <cell r="B75" t="str">
            <v>AS81002 - 1,00</v>
          </cell>
          <cell r="C75">
            <v>4</v>
          </cell>
          <cell r="D75" t="str">
            <v>VW</v>
          </cell>
          <cell r="E75">
            <v>82</v>
          </cell>
          <cell r="F75">
            <v>1</v>
          </cell>
          <cell r="G75" t="str">
            <v>C4E</v>
          </cell>
        </row>
        <row r="76">
          <cell r="B76" t="str">
            <v>AS81002 - 0,50</v>
          </cell>
          <cell r="C76">
            <v>4</v>
          </cell>
          <cell r="D76" t="str">
            <v>VW</v>
          </cell>
          <cell r="E76">
            <v>81.5</v>
          </cell>
          <cell r="F76">
            <v>0.5</v>
          </cell>
          <cell r="G76" t="str">
            <v>C4D</v>
          </cell>
        </row>
        <row r="77">
          <cell r="B77" t="str">
            <v>AS81001 - 0,50</v>
          </cell>
          <cell r="C77">
            <v>4</v>
          </cell>
          <cell r="D77" t="str">
            <v>VW</v>
          </cell>
          <cell r="E77">
            <v>81.5</v>
          </cell>
          <cell r="F77">
            <v>0.5</v>
          </cell>
          <cell r="G77" t="str">
            <v>C1D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eleguini" refreshedDate="45769.66657199074" createdVersion="7" refreshedVersion="7" minRefreshableVersion="3" recordCount="249" xr:uid="{5AE7A8C7-5B79-4491-B088-D7FC19CE4AC9}">
  <cacheSource type="worksheet">
    <worksheetSource name="Tabela1"/>
  </cacheSource>
  <cacheFields count="7">
    <cacheField name="Descrição" numFmtId="0">
      <sharedItems containsSemiMixedTypes="0" containsString="0" containsNumber="1" containsInteger="1" minValue="0" maxValue="0"/>
    </cacheField>
    <cacheField name="Qtd" numFmtId="0">
      <sharedItems containsSemiMixedTypes="0" containsString="0" containsNumber="1" containsInteger="1" minValue="0" maxValue="0"/>
    </cacheField>
    <cacheField name="Código (SKU)" numFmtId="0">
      <sharedItems containsSemiMixedTypes="0" containsString="0" containsNumber="1" containsInteger="1" minValue="0" maxValue="0"/>
    </cacheField>
    <cacheField name="Análise" numFmtId="0">
      <sharedItems containsMixedTypes="1" containsNumber="1" containsInteger="1" minValue="0" maxValue="0" count="2">
        <e v="#N/A"/>
        <n v="0" u="1"/>
      </sharedItems>
    </cacheField>
    <cacheField name="Estoque Virtual" numFmtId="0">
      <sharedItems/>
    </cacheField>
    <cacheField name="Separação" numFmtId="0">
      <sharedItems/>
    </cacheField>
    <cacheField name="Atende?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eleguini" refreshedDate="45769.666706365744" createdVersion="7" refreshedVersion="7" minRefreshableVersion="3" recordCount="17" xr:uid="{EF0A4328-1824-4260-8386-2DC8AAFC1DFE}">
  <cacheSource type="worksheet">
    <worksheetSource name="Tabela2"/>
  </cacheSource>
  <cacheFields count="3">
    <cacheField name="Código Barras" numFmtId="1">
      <sharedItems containsNonDate="0" containsString="0" containsBlank="1"/>
    </cacheField>
    <cacheField name="PN" numFmtId="0">
      <sharedItems containsNonDate="0" containsBlank="1" count="21">
        <m/>
        <s v="" u="1"/>
        <s v="P 2010 - 0,50" u="1"/>
        <s v="P 2024 - 0,50" u="1"/>
        <s v="P 2045 - STD" u="1"/>
        <s v="P 2011 - 0,50" u="1"/>
        <s v="P 2010 - 1,00" u="1"/>
        <s v="P 2012 - 0,50" u="1"/>
        <s v="P 2013 - 1,00" u="1"/>
        <s v="P 2002 - 0,50" u="1"/>
        <s v="P 2010 - STD" u="1"/>
        <s v="P 2011 - STD" u="1"/>
        <s v="P 2064 - 0,50" u="1"/>
        <e v="#N/A" u="1"/>
        <s v="P 2052 - 0,50" u="1"/>
        <s v="P 2002 - STD" u="1"/>
        <s v="P 2053 - 1,00" u="1"/>
        <s v="P 2009 - 1,00" u="1"/>
        <s v="P 2005 - STD" u="1"/>
        <s v="P 2009 - STD" u="1"/>
        <s v="P 2047 - 0,50" u="1"/>
      </sharedItems>
    </cacheField>
    <cacheField name="Quantidade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9"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  <r>
    <n v="0"/>
    <n v="0"/>
    <n v="0"/>
    <x v="0"/>
    <e v="#N/A"/>
    <e v="#N/A"/>
    <e v="#N/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m/>
    <x v="0"/>
    <n v="0"/>
  </r>
  <r>
    <m/>
    <x v="0"/>
    <n v="0"/>
  </r>
  <r>
    <m/>
    <x v="0"/>
    <n v="0"/>
  </r>
  <r>
    <m/>
    <x v="0"/>
    <n v="0"/>
  </r>
  <r>
    <m/>
    <x v="0"/>
    <n v="0"/>
  </r>
  <r>
    <m/>
    <x v="0"/>
    <n v="0"/>
  </r>
  <r>
    <m/>
    <x v="0"/>
    <n v="0"/>
  </r>
  <r>
    <m/>
    <x v="0"/>
    <n v="0"/>
  </r>
  <r>
    <m/>
    <x v="0"/>
    <n v="0"/>
  </r>
  <r>
    <m/>
    <x v="0"/>
    <n v="0"/>
  </r>
  <r>
    <m/>
    <x v="0"/>
    <n v="0"/>
  </r>
  <r>
    <m/>
    <x v="0"/>
    <n v="0"/>
  </r>
  <r>
    <m/>
    <x v="0"/>
    <n v="0"/>
  </r>
  <r>
    <m/>
    <x v="0"/>
    <n v="0"/>
  </r>
  <r>
    <m/>
    <x v="0"/>
    <n v="0"/>
  </r>
  <r>
    <m/>
    <x v="0"/>
    <n v="0"/>
  </r>
  <r>
    <m/>
    <x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886AD-EC5B-4534-9131-ACC2ECF4DF4B}" name="Tabela dinâmica2" cacheId="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4">
  <location ref="I23:J25" firstHeaderRow="1" firstDataRow="1" firstDataCol="1"/>
  <pivotFields count="7">
    <pivotField showAll="0"/>
    <pivotField dataField="1" showAll="0"/>
    <pivotField showAll="0"/>
    <pivotField axis="axisRow" showAll="0">
      <items count="3">
        <item h="1" m="1" x="1"/>
        <item x="0"/>
        <item t="default"/>
      </items>
    </pivotField>
    <pivotField showAll="0"/>
    <pivotField showAll="0"/>
    <pivotField showAll="0"/>
  </pivotFields>
  <rowFields count="1">
    <field x="3"/>
  </rowFields>
  <rowItems count="2">
    <i>
      <x v="1"/>
    </i>
    <i t="grand">
      <x/>
    </i>
  </rowItems>
  <colItems count="1">
    <i/>
  </colItems>
  <dataFields count="1">
    <dataField name="Quantidades" fld="1" baseField="0" baseItem="0"/>
  </dataField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B50624-171F-4F7A-8EF2-33C7423749DF}" name="Tabela dinâmica1" cacheId="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6">
  <location ref="I14:J16" firstHeaderRow="1" firstDataRow="1" firstDataCol="1"/>
  <pivotFields count="7">
    <pivotField showAll="0"/>
    <pivotField dataField="1" showAll="0"/>
    <pivotField showAll="0"/>
    <pivotField axis="axisRow" showAll="0">
      <items count="3">
        <item h="1" m="1" x="1"/>
        <item x="0"/>
        <item t="default"/>
      </items>
    </pivotField>
    <pivotField showAll="0"/>
    <pivotField showAll="0"/>
    <pivotField showAll="0"/>
  </pivotFields>
  <rowFields count="1">
    <field x="3"/>
  </rowFields>
  <rowItems count="2">
    <i>
      <x v="1"/>
    </i>
    <i t="grand">
      <x/>
    </i>
  </rowItems>
  <colItems count="1">
    <i/>
  </colItems>
  <dataFields count="1">
    <dataField name="Soma de Qtd" fld="1" showDataAs="percentOfTotal" baseField="3" baseItem="0" numFmtId="10"/>
  </dataFields>
  <formats count="1">
    <format dxfId="12">
      <pivotArea collapsedLevelsAreSubtotals="1" fieldPosition="0">
        <references count="1">
          <reference field="3" count="0"/>
        </references>
      </pivotArea>
    </format>
  </formats>
  <chartFormats count="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8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996384-32F6-481F-9C7E-79F337C5208D}" name="Tabela dinâmica2" cacheId="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Y3:Z5" firstHeaderRow="1" firstDataRow="1" firstDataCol="1"/>
  <pivotFields count="3">
    <pivotField numFmtId="1" showAll="0"/>
    <pivotField axis="axisRow" showAll="0" sortType="ascending">
      <items count="22">
        <item m="1" x="1"/>
        <item m="1" x="9"/>
        <item m="1" x="15"/>
        <item m="1" x="18"/>
        <item m="1" x="17"/>
        <item m="1" x="19"/>
        <item m="1" x="2"/>
        <item m="1" x="6"/>
        <item m="1" x="10"/>
        <item m="1" x="5"/>
        <item m="1" x="11"/>
        <item m="1" x="7"/>
        <item m="1" x="8"/>
        <item m="1" x="3"/>
        <item m="1" x="4"/>
        <item m="1" x="20"/>
        <item m="1" x="14"/>
        <item m="1" x="16"/>
        <item m="1" x="12"/>
        <item m="1" x="13"/>
        <item x="0"/>
        <item t="default"/>
      </items>
    </pivotField>
    <pivotField dataField="1" showAll="0"/>
  </pivotFields>
  <rowFields count="1">
    <field x="1"/>
  </rowFields>
  <rowItems count="2">
    <i>
      <x v="20"/>
    </i>
    <i t="grand">
      <x/>
    </i>
  </rowItems>
  <colItems count="1">
    <i/>
  </colItems>
  <dataFields count="1">
    <dataField name="Soma de Quantidad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G250" totalsRowShown="0">
  <autoFilter ref="A1:G250" xr:uid="{00000000-0009-0000-0100-000001000000}"/>
  <tableColumns count="7">
    <tableColumn id="1" xr3:uid="{00000000-0010-0000-0000-000001000000}" name="Descrição" dataDxfId="11">
      <calculatedColumnFormula>'Pedidos de Venda'!A7</calculatedColumnFormula>
    </tableColumn>
    <tableColumn id="4" xr3:uid="{DBB52607-0221-404D-BA91-F7E7A5154008}" name="Qtd" dataDxfId="10">
      <calculatedColumnFormula>'Pedidos de Venda'!C7</calculatedColumnFormula>
    </tableColumn>
    <tableColumn id="2" xr3:uid="{00000000-0010-0000-0000-000002000000}" name="Código (SKU)" dataDxfId="9">
      <calculatedColumnFormula>'Pedidos de Venda'!B7</calculatedColumnFormula>
    </tableColumn>
    <tableColumn id="3" xr3:uid="{00000000-0010-0000-0000-000003000000}" name="Análise" dataDxfId="8">
      <calculatedColumnFormula>IF(F2&lt;=0, VLOOKUP(C2, [1]Localização!A:R, 18, FALSE), "Em estoque")</calculatedColumnFormula>
    </tableColumn>
    <tableColumn id="7" xr3:uid="{F3600CFD-141E-48E9-AE09-6CE1AE75714B}" name="Estoque Virtual" dataDxfId="7">
      <calculatedColumnFormula>VLOOKUP(Tabela1[[#This Row],[Código (SKU)]],Necessidade!B:P,15,FALSE)</calculatedColumnFormula>
    </tableColumn>
    <tableColumn id="6" xr3:uid="{7DD72B94-CA29-41CC-8EAF-CEE66E17E89E}" name="Separação" dataDxfId="6">
      <calculatedColumnFormula>Tabela1[[#This Row],[Estoque Virtual]]-Tabela1[[#This Row],[Qtd]]</calculatedColumnFormula>
    </tableColumn>
    <tableColumn id="5" xr3:uid="{D7E3D85D-9C3A-4638-8EB0-70F2CE266A4C}" name="Atende?" dataDxfId="5">
      <calculatedColumnFormula>IF(OR(Tabela1[[#This Row],[Análise]]="Em estoque",Tabela1[[#This Row],[Análise]]=$V$4),"Atende 7 dias","Atende 30 dias")</calculatedColumnFormula>
    </tableColumn>
  </tableColumns>
  <tableStyleInfo name="Estilo de Tabela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E1CAD9-F857-400C-8D8A-2EBB753C8787}" name="Tabela2" displayName="Tabela2" ref="B3:D20" totalsRowShown="0" headerRowDxfId="4" dataDxfId="3">
  <autoFilter ref="B3:D20" xr:uid="{1AE1CAD9-F857-400C-8D8A-2EBB753C8787}"/>
  <tableColumns count="3">
    <tableColumn id="1" xr3:uid="{F7339C5B-D16F-4543-80A0-452DC9A2F63C}" name="Código Barras" dataDxfId="2"/>
    <tableColumn id="3" xr3:uid="{90B8BDF1-4F28-4133-A2D5-8E780B9EF160}" name="PN" dataDxfId="1"/>
    <tableColumn id="2" xr3:uid="{C642C4CE-27C1-40E3-A835-81014E522F23}" name="Quantidade" dataDxfId="0">
      <calculatedColumnFormula>IF(Tabela2[[#This Row],[PN]]&lt;&gt;"",1,0)</calculatedColumnFormula>
    </tableColumn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Personalizada 2">
      <a:dk1>
        <a:srgbClr val="262626"/>
      </a:dk1>
      <a:lt1>
        <a:sysClr val="window" lastClr="FFFFFF"/>
      </a:lt1>
      <a:dk2>
        <a:srgbClr val="7F7F7F"/>
      </a:dk2>
      <a:lt2>
        <a:srgbClr val="E7E6E6"/>
      </a:lt2>
      <a:accent1>
        <a:srgbClr val="8D3B3C"/>
      </a:accent1>
      <a:accent2>
        <a:srgbClr val="352B2A"/>
      </a:accent2>
      <a:accent3>
        <a:srgbClr val="A5A5A5"/>
      </a:accent3>
      <a:accent4>
        <a:srgbClr val="F2363A"/>
      </a:accent4>
      <a:accent5>
        <a:srgbClr val="62393A"/>
      </a:accent5>
      <a:accent6>
        <a:srgbClr val="E50F16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S59"/>
  <sheetViews>
    <sheetView tabSelected="1" showRuler="0" zoomScale="85" zoomScaleNormal="85" zoomScaleSheetLayoutView="55" workbookViewId="0">
      <selection activeCell="A18" sqref="A18"/>
    </sheetView>
  </sheetViews>
  <sheetFormatPr defaultRowHeight="15" x14ac:dyDescent="0.25"/>
  <cols>
    <col min="1" max="1" width="83.7109375" customWidth="1"/>
    <col min="2" max="2" width="20.7109375" bestFit="1" customWidth="1"/>
    <col min="3" max="3" width="8.7109375" customWidth="1"/>
    <col min="4" max="4" width="8.42578125" style="10" customWidth="1"/>
    <col min="5" max="5" width="15.140625" style="10" customWidth="1"/>
    <col min="6" max="6" width="14.5703125" style="10" customWidth="1"/>
    <col min="7" max="7" width="3.140625" style="10" customWidth="1"/>
    <col min="8" max="8" width="20.7109375" bestFit="1" customWidth="1"/>
    <col min="9" max="9" width="16.7109375" bestFit="1" customWidth="1"/>
    <col min="10" max="10" width="14.42578125" customWidth="1"/>
    <col min="11" max="11" width="15.42578125" bestFit="1" customWidth="1"/>
    <col min="12" max="12" width="13.5703125" customWidth="1"/>
    <col min="13" max="13" width="9.140625" customWidth="1"/>
    <col min="14" max="14" width="21" bestFit="1" customWidth="1"/>
    <col min="15" max="15" width="14.28515625" bestFit="1" customWidth="1"/>
    <col min="16" max="16" width="18.28515625" bestFit="1" customWidth="1"/>
  </cols>
  <sheetData>
    <row r="1" spans="1:19" x14ac:dyDescent="0.25">
      <c r="A1" s="81" t="s">
        <v>10</v>
      </c>
      <c r="B1" s="78"/>
      <c r="K1" s="87" t="s">
        <v>1144</v>
      </c>
      <c r="L1" s="87"/>
      <c r="M1" s="87"/>
    </row>
    <row r="2" spans="1:19" x14ac:dyDescent="0.25">
      <c r="A2" s="81" t="s">
        <v>11</v>
      </c>
      <c r="B2" s="80"/>
    </row>
    <row r="3" spans="1:19" ht="15" customHeight="1" x14ac:dyDescent="0.25">
      <c r="A3" s="81" t="s">
        <v>12</v>
      </c>
      <c r="B3" s="79"/>
      <c r="G3" s="59"/>
      <c r="Q3" s="88" t="s">
        <v>1145</v>
      </c>
      <c r="R3" s="88"/>
      <c r="S3" s="88"/>
    </row>
    <row r="4" spans="1:19" x14ac:dyDescent="0.25">
      <c r="A4" s="81" t="s">
        <v>13</v>
      </c>
      <c r="B4" s="79"/>
      <c r="G4" s="59"/>
      <c r="Q4" s="88"/>
      <c r="R4" s="88"/>
      <c r="S4" s="88"/>
    </row>
    <row r="5" spans="1:19" ht="15.75" thickBot="1" x14ac:dyDescent="0.3">
      <c r="G5" s="59"/>
    </row>
    <row r="6" spans="1:19" ht="32.25" thickBot="1" x14ac:dyDescent="0.3">
      <c r="A6" s="50" t="s">
        <v>1</v>
      </c>
      <c r="B6" s="51" t="s">
        <v>2</v>
      </c>
      <c r="C6" s="47" t="s">
        <v>15</v>
      </c>
      <c r="D6" s="47" t="s">
        <v>657</v>
      </c>
      <c r="E6" s="47" t="s">
        <v>5</v>
      </c>
      <c r="F6" s="48" t="s">
        <v>6</v>
      </c>
      <c r="G6" s="60"/>
      <c r="H6" s="46" t="s">
        <v>1056</v>
      </c>
      <c r="I6" s="47" t="s">
        <v>658</v>
      </c>
      <c r="J6" s="47" t="s">
        <v>1058</v>
      </c>
      <c r="K6" s="47" t="s">
        <v>5</v>
      </c>
      <c r="L6" s="48" t="s">
        <v>6</v>
      </c>
    </row>
    <row r="7" spans="1:19" ht="21" customHeight="1" x14ac:dyDescent="0.3">
      <c r="A7" s="57"/>
      <c r="B7" s="49"/>
      <c r="C7" s="49"/>
      <c r="D7" s="44">
        <f>IF(OR(B7="P 2089 - 0,50",  B7="P 2089 - 1,00", B7 = "P 2089 - STD",B7="PA 2089 - 0,50",  B7="PA 2089 - 1,00", B7 = "PA 2089 - STD", B7="P 2068 - 0,50", B7="P 2068 - 1,00", B7="P 2068 - STD",B7="P 2134 - 0,50", B7="P 2134 - 1,00", B7="P 2134 - STD", B7="P 2151 - 0,50", B7="P 2151 - 1,00", B7="P 2151 - STD",B7="PA 2134 - 0,50", B7="PA 2134 - 1,00", B7="PA 2134 - STD", B7="PA 2151 - 0,50", B7="PA 2151 - 1,00", B7="PA 2151 - STD",,),C7/3,IF(OR(LEFT(B7,2)="AS",LEFT(B7,2)="PA"),C7/1,C7/4))</f>
        <v>0</v>
      </c>
      <c r="E7" s="45" t="s">
        <v>1079</v>
      </c>
      <c r="F7" s="53">
        <f>IFERROR(VLOOKUP(B7,Verificacao!Y:Z,2,FALSE),0)</f>
        <v>0</v>
      </c>
      <c r="G7" s="61"/>
      <c r="H7" s="52" t="str">
        <f>IFERROR(IF(LEFT(B7,2)="AS",B7,VLOOKUP(B7,PA!$A$2:$C$166,3,FALSE)),"-")</f>
        <v>-</v>
      </c>
      <c r="I7" s="44" t="str">
        <f>IFERROR(VLOOKUP(H7,PA!$C$2:$E$166,3,FALSE),"-")</f>
        <v>-</v>
      </c>
      <c r="J7" s="44" t="str">
        <f>IF(I7="-","-",D7)</f>
        <v>-</v>
      </c>
      <c r="K7" s="45" t="s">
        <v>1079</v>
      </c>
      <c r="L7" s="53" t="s">
        <v>1080</v>
      </c>
      <c r="M7" s="34" t="str">
        <f>IF(B7&lt;&gt;"",IFERROR(IF((VLOOKUP(B7,'Lista de Itens Bad'!$A$2:$A$52,1,0))&lt;&gt;"","Verificar Estoque","Manter"),"Manter"),"")</f>
        <v/>
      </c>
      <c r="N7" t="str">
        <f>IF(F7=0,"Não Scaneado",IF(D7=F7,"OK","Divergente"))</f>
        <v>Não Scaneado</v>
      </c>
    </row>
    <row r="8" spans="1:19" ht="21" customHeight="1" x14ac:dyDescent="0.3">
      <c r="A8" s="57"/>
      <c r="B8" s="49"/>
      <c r="C8" s="49"/>
      <c r="D8" s="44">
        <f t="shared" ref="D8" si="0">IF(OR(B8="P 2089 - 0,50",  B8="P 2089 - 1,00", B8 = "P 2089 - STD",B8="PA 2089 - 0,50",  B8="PA 2089 - 1,00", B8 = "PA 2089 - STD", B8="P 2068 - 0,50", B8="P 2068 - 1,00", B8="P 2068 - STD",B8="P 2134 - 0,50", B8="P 2134 - 1,00", B8="P 2134 - STD", B8="P 2151 - 0,50", B8="P 2151 - 1,00", B8="P 2151 - STD",B8="PA 2134 - 0,50", B8="PA 2134 - 1,00", B8="PA 2134 - STD", B8="PA 2151 - 0,50", B8="PA 2151 - 1,00", B8="PA 2151 - STD",,),C8/3,IF(OR(LEFT(B8,2)="AS",LEFT(B8,2)="PA"),C8/1,C8/4))</f>
        <v>0</v>
      </c>
      <c r="E8" s="45" t="s">
        <v>1079</v>
      </c>
      <c r="F8" s="53">
        <f>IFERROR(VLOOKUP(B8,Verificacao!Y:Z,2,FALSE),0)</f>
        <v>0</v>
      </c>
      <c r="G8" s="61"/>
      <c r="H8" s="52" t="str">
        <f>IFERROR(IF(LEFT(B8,2)="AS",B8,VLOOKUP(B8,PA!$A$2:$C$166,3,FALSE)),"-")</f>
        <v>-</v>
      </c>
      <c r="I8" s="44" t="str">
        <f>IFERROR(VLOOKUP(H8,PA!$C$2:$E$166,3,FALSE),"-")</f>
        <v>-</v>
      </c>
      <c r="J8" s="44" t="str">
        <f t="shared" ref="J8" si="1">IF(I8="-","-",D8)</f>
        <v>-</v>
      </c>
      <c r="K8" s="45" t="s">
        <v>1079</v>
      </c>
      <c r="L8" s="53" t="s">
        <v>1080</v>
      </c>
      <c r="M8" s="34" t="str">
        <f>IF(B8&lt;&gt;"",IFERROR(IF((VLOOKUP(B8,'Lista de Itens Bad'!$A$2:$A$52,1,0))&lt;&gt;"","Verificar Estoque","Manter"),"Manter"),"")</f>
        <v/>
      </c>
      <c r="N8" t="str">
        <f>IF(F8=0,"Não Scaneado",IF(D8=F8,"OK","Divergente"))</f>
        <v>Não Scaneado</v>
      </c>
    </row>
    <row r="9" spans="1:19" ht="21" customHeight="1" x14ac:dyDescent="0.3">
      <c r="A9" s="77"/>
      <c r="B9" s="76"/>
      <c r="C9" s="76"/>
      <c r="D9" s="44">
        <f t="shared" ref="D9" si="2">IF(OR(B9="P 2089 - 0,50",  B9="P 2089 - 1,00", B9 = "P 2089 - STD",B9="PA 2089 - 0,50",  B9="PA 2089 - 1,00", B9 = "PA 2089 - STD", B9="P 2068 - 0,50", B9="P 2068 - 1,00", B9="P 2068 - STD",B9="P 2134 - 0,50", B9="P 2134 - 1,00", B9="P 2134 - STD", B9="P 2151 - 0,50", B9="P 2151 - 1,00", B9="P 2151 - STD",B9="PA 2134 - 0,50", B9="PA 2134 - 1,00", B9="PA 2134 - STD", B9="PA 2151 - 0,50", B9="PA 2151 - 1,00", B9="PA 2151 - STD",,),C9/3,IF(OR(LEFT(B9,2)="AS",LEFT(B9,2)="PA"),C9/1,C9/4))</f>
        <v>0</v>
      </c>
      <c r="E9" s="45" t="s">
        <v>1079</v>
      </c>
      <c r="F9" s="53">
        <f>IFERROR(VLOOKUP(B9,Verificacao!Y:Z,2,FALSE),0)</f>
        <v>0</v>
      </c>
      <c r="G9" s="61"/>
      <c r="H9" s="52" t="str">
        <f>IFERROR(IF(LEFT(B9,2)="AS",B9,VLOOKUP(B9,PA!$A$2:$C$166,3,FALSE)),"-")</f>
        <v>-</v>
      </c>
      <c r="I9" s="44" t="str">
        <f>IFERROR(VLOOKUP(H9,PA!$C$2:$E$166,3,FALSE),"-")</f>
        <v>-</v>
      </c>
      <c r="J9" s="44" t="str">
        <f t="shared" ref="J9" si="3">IF(I9="-","-",D9)</f>
        <v>-</v>
      </c>
      <c r="K9" s="45" t="s">
        <v>1079</v>
      </c>
      <c r="L9" s="53" t="s">
        <v>1080</v>
      </c>
      <c r="M9" s="34" t="str">
        <f>IF(B9&lt;&gt;"",IFERROR(IF((VLOOKUP(B9,'Lista de Itens Bad'!$A$2:$A$52,1,0))&lt;&gt;"","Verificar Estoque","Manter"),"Manter"),"")</f>
        <v/>
      </c>
      <c r="N9" t="str">
        <f>IF(F9=0,"Não Scaneado",IF(D9=F9,"OK","Divergente"))</f>
        <v>Não Scaneado</v>
      </c>
    </row>
    <row r="10" spans="1:19" ht="21" customHeight="1" thickBot="1" x14ac:dyDescent="0.35">
      <c r="A10" s="82"/>
      <c r="B10" s="83"/>
      <c r="C10" s="56">
        <f>SUM(C7:C8)</f>
        <v>0</v>
      </c>
      <c r="D10" s="56">
        <f>SUM(D7:D8)</f>
        <v>0</v>
      </c>
      <c r="E10" s="56"/>
      <c r="F10" s="58"/>
      <c r="G10" s="62"/>
      <c r="H10" s="54"/>
      <c r="I10" s="55"/>
      <c r="J10" s="56">
        <f>SUM(J7:J8)</f>
        <v>0</v>
      </c>
      <c r="K10" s="8"/>
      <c r="L10" s="2"/>
    </row>
    <row r="11" spans="1:19" ht="21" customHeight="1" thickBot="1" x14ac:dyDescent="0.3">
      <c r="G11" s="59"/>
    </row>
    <row r="12" spans="1:19" ht="21" customHeight="1" thickBot="1" x14ac:dyDescent="0.3">
      <c r="G12" s="42"/>
      <c r="H12" s="42"/>
      <c r="I12" s="84" t="s">
        <v>7</v>
      </c>
      <c r="J12" s="85"/>
      <c r="K12" s="85"/>
      <c r="L12" s="86"/>
    </row>
    <row r="13" spans="1:19" ht="21" customHeight="1" x14ac:dyDescent="0.25">
      <c r="A13" s="16"/>
      <c r="G13" s="43"/>
      <c r="H13" s="43"/>
      <c r="I13" s="22" t="s">
        <v>0</v>
      </c>
      <c r="J13" s="38" t="s">
        <v>14</v>
      </c>
      <c r="K13" s="7" t="s">
        <v>9</v>
      </c>
      <c r="L13" s="6" t="s">
        <v>8</v>
      </c>
    </row>
    <row r="14" spans="1:19" ht="21" customHeight="1" x14ac:dyDescent="0.25">
      <c r="G14" s="31"/>
      <c r="H14" s="31"/>
      <c r="I14" s="3"/>
      <c r="J14" s="39"/>
      <c r="K14" s="1"/>
      <c r="L14" s="4"/>
    </row>
    <row r="15" spans="1:19" ht="21" customHeight="1" x14ac:dyDescent="0.25">
      <c r="G15" s="31"/>
      <c r="H15" s="31"/>
      <c r="I15" s="3"/>
      <c r="J15" s="39"/>
      <c r="K15" s="1"/>
      <c r="L15" s="4"/>
    </row>
    <row r="16" spans="1:19" ht="21" customHeight="1" x14ac:dyDescent="0.25">
      <c r="G16" s="31"/>
      <c r="H16" s="31"/>
      <c r="I16" s="3"/>
      <c r="J16" s="39"/>
      <c r="K16" s="1"/>
      <c r="L16" s="4"/>
    </row>
    <row r="17" spans="7:12" ht="21" customHeight="1" thickBot="1" x14ac:dyDescent="0.3">
      <c r="G17" s="31"/>
      <c r="H17" s="31"/>
      <c r="I17" s="5"/>
      <c r="J17" s="40"/>
      <c r="K17" s="8"/>
      <c r="L17" s="2"/>
    </row>
    <row r="18" spans="7:12" ht="21" customHeight="1" thickBot="1" x14ac:dyDescent="0.3">
      <c r="J18" s="10"/>
      <c r="K18" s="10"/>
      <c r="L18" s="10"/>
    </row>
    <row r="19" spans="7:12" ht="21" customHeight="1" thickBot="1" x14ac:dyDescent="0.3">
      <c r="G19" s="42"/>
      <c r="H19" s="42"/>
      <c r="I19" s="84" t="s">
        <v>6</v>
      </c>
      <c r="J19" s="85"/>
      <c r="K19" s="85"/>
      <c r="L19" s="86"/>
    </row>
    <row r="20" spans="7:12" ht="21" customHeight="1" x14ac:dyDescent="0.25">
      <c r="G20" s="43"/>
      <c r="H20" s="43"/>
      <c r="I20" s="22" t="s">
        <v>0</v>
      </c>
      <c r="J20" s="38" t="s">
        <v>14</v>
      </c>
      <c r="K20" s="7" t="s">
        <v>9</v>
      </c>
      <c r="L20" s="6" t="s">
        <v>8</v>
      </c>
    </row>
    <row r="21" spans="7:12" ht="21" customHeight="1" x14ac:dyDescent="0.25">
      <c r="G21" s="31"/>
      <c r="H21" s="31"/>
      <c r="I21" s="3"/>
      <c r="J21" s="39"/>
      <c r="K21" s="1"/>
      <c r="L21" s="4"/>
    </row>
    <row r="22" spans="7:12" ht="21" customHeight="1" x14ac:dyDescent="0.25">
      <c r="G22" s="31"/>
      <c r="H22" s="31"/>
      <c r="I22" s="3"/>
      <c r="J22" s="39"/>
      <c r="K22" s="1"/>
      <c r="L22" s="4"/>
    </row>
    <row r="23" spans="7:12" ht="21" customHeight="1" x14ac:dyDescent="0.25">
      <c r="G23" s="31"/>
      <c r="H23" s="31"/>
      <c r="I23" s="3"/>
      <c r="J23" s="39"/>
      <c r="K23" s="1"/>
      <c r="L23" s="4"/>
    </row>
    <row r="24" spans="7:12" ht="21" customHeight="1" thickBot="1" x14ac:dyDescent="0.3">
      <c r="G24" s="31"/>
      <c r="H24" s="31"/>
      <c r="I24" s="5"/>
      <c r="J24" s="40"/>
      <c r="K24" s="8"/>
      <c r="L24" s="2"/>
    </row>
    <row r="25" spans="7:12" ht="21" customHeight="1" x14ac:dyDescent="0.25"/>
    <row r="26" spans="7:12" ht="21" customHeight="1" x14ac:dyDescent="0.25"/>
    <row r="27" spans="7:12" ht="21" customHeight="1" x14ac:dyDescent="0.25"/>
    <row r="28" spans="7:12" ht="21" customHeight="1" x14ac:dyDescent="0.25"/>
    <row r="29" spans="7:12" ht="21" customHeight="1" x14ac:dyDescent="0.25"/>
    <row r="30" spans="7:12" ht="21" customHeight="1" x14ac:dyDescent="0.25"/>
    <row r="31" spans="7:12" ht="21" customHeight="1" x14ac:dyDescent="0.25"/>
    <row r="32" spans="7:12" ht="21" customHeight="1" x14ac:dyDescent="0.25"/>
    <row r="33" ht="21" customHeight="1" x14ac:dyDescent="0.25"/>
    <row r="34" ht="21" customHeight="1" x14ac:dyDescent="0.25"/>
    <row r="35" ht="21" customHeight="1" x14ac:dyDescent="0.25"/>
    <row r="36" ht="21" customHeight="1" x14ac:dyDescent="0.25"/>
    <row r="37" ht="21" customHeight="1" x14ac:dyDescent="0.25"/>
    <row r="38" ht="21" customHeight="1" x14ac:dyDescent="0.25"/>
    <row r="39" ht="21" customHeight="1" x14ac:dyDescent="0.25"/>
    <row r="40" ht="21" customHeight="1" x14ac:dyDescent="0.25"/>
    <row r="41" ht="21" customHeight="1" x14ac:dyDescent="0.25"/>
    <row r="42" ht="21" customHeight="1" x14ac:dyDescent="0.25"/>
    <row r="43" ht="21" customHeight="1" x14ac:dyDescent="0.25"/>
    <row r="44" ht="21" customHeight="1" x14ac:dyDescent="0.25"/>
    <row r="45" ht="21" customHeight="1" x14ac:dyDescent="0.25"/>
    <row r="46" ht="16.5" customHeight="1" x14ac:dyDescent="0.25"/>
    <row r="47" ht="16.5" customHeight="1" x14ac:dyDescent="0.25"/>
    <row r="48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</sheetData>
  <mergeCells count="5">
    <mergeCell ref="A10:B10"/>
    <mergeCell ref="I12:L12"/>
    <mergeCell ref="I19:L19"/>
    <mergeCell ref="K1:M1"/>
    <mergeCell ref="Q3:S4"/>
  </mergeCells>
  <conditionalFormatting sqref="B1:B2 B5:B1048576">
    <cfRule type="duplicateValues" dxfId="17" priority="6"/>
  </conditionalFormatting>
  <conditionalFormatting sqref="A7:L9">
    <cfRule type="expression" dxfId="16" priority="15">
      <formula>$M7="Atende 30 dias"</formula>
    </cfRule>
  </conditionalFormatting>
  <conditionalFormatting sqref="N1:N1048576">
    <cfRule type="containsText" dxfId="15" priority="1" operator="containsText" text="Não">
      <formula>NOT(ISERROR(SEARCH("Não",N1)))</formula>
    </cfRule>
    <cfRule type="containsText" dxfId="14" priority="2" operator="containsText" text="Divergente">
      <formula>NOT(ISERROR(SEARCH("Divergente",N1)))</formula>
    </cfRule>
    <cfRule type="containsText" dxfId="13" priority="3" operator="containsText" text="OK">
      <formula>NOT(ISERROR(SEARCH("OK",N1)))</formula>
    </cfRule>
  </conditionalFormatting>
  <pageMargins left="0.70866141732283472" right="0.70866141732283472" top="0.74803149606299213" bottom="0.74803149606299213" header="0.31496062992125984" footer="0.31496062992125984"/>
  <pageSetup scale="50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W250"/>
  <sheetViews>
    <sheetView showGridLines="0" zoomScaleNormal="100" workbookViewId="0">
      <selection activeCell="I34" sqref="I34"/>
    </sheetView>
  </sheetViews>
  <sheetFormatPr defaultRowHeight="15" x14ac:dyDescent="0.25"/>
  <cols>
    <col min="1" max="1" width="65" customWidth="1"/>
    <col min="2" max="2" width="11.7109375" customWidth="1"/>
    <col min="3" max="3" width="14.5703125" customWidth="1"/>
    <col min="4" max="4" width="17.140625" style="10" bestFit="1" customWidth="1"/>
    <col min="5" max="5" width="17" bestFit="1" customWidth="1"/>
    <col min="6" max="6" width="15.42578125" customWidth="1"/>
    <col min="7" max="7" width="14.140625" bestFit="1" customWidth="1"/>
    <col min="8" max="8" width="9.42578125" customWidth="1"/>
    <col min="9" max="9" width="18" bestFit="1" customWidth="1"/>
    <col min="10" max="11" width="12.28515625" bestFit="1" customWidth="1"/>
    <col min="22" max="22" width="16.5703125" customWidth="1"/>
    <col min="23" max="23" width="15" customWidth="1"/>
    <col min="24" max="24" width="11.42578125" bestFit="1" customWidth="1"/>
  </cols>
  <sheetData>
    <row r="1" spans="1:23" x14ac:dyDescent="0.25">
      <c r="A1" t="s">
        <v>1</v>
      </c>
      <c r="B1" t="s">
        <v>19</v>
      </c>
      <c r="C1" t="s">
        <v>2</v>
      </c>
      <c r="D1" s="9" t="s">
        <v>16</v>
      </c>
      <c r="E1" s="16" t="s">
        <v>28</v>
      </c>
      <c r="F1" s="16" t="s">
        <v>5</v>
      </c>
      <c r="G1" s="16" t="s">
        <v>641</v>
      </c>
    </row>
    <row r="2" spans="1:23" ht="15" customHeight="1" x14ac:dyDescent="0.25">
      <c r="A2">
        <f>'Pedidos de Venda'!A7</f>
        <v>0</v>
      </c>
      <c r="B2">
        <f>'Pedidos de Venda'!C7</f>
        <v>0</v>
      </c>
      <c r="C2">
        <f>'Pedidos de Venda'!B7</f>
        <v>0</v>
      </c>
      <c r="D2" s="9" t="e">
        <f>IF(F2&lt;=0, VLOOKUP(C2, [1]Localização!A:R, 18, FALSE), "Em estoque")</f>
        <v>#N/A</v>
      </c>
      <c r="E2" t="e">
        <f>VLOOKUP(Tabela1[[#This Row],[Código (SKU)]],Necessidade!B:P,15,FALSE)</f>
        <v>#N/A</v>
      </c>
      <c r="F2" t="e">
        <f>Tabela1[[#This Row],[Estoque Virtual]]-Tabela1[[#This Row],[Qtd]]</f>
        <v>#N/A</v>
      </c>
      <c r="G2" s="12" t="e">
        <f>IF(OR(Tabela1[[#This Row],[Análise]]="Em estoque",Tabela1[[#This Row],[Análise]]=$V$4),"Atende 7 dias","Atende 30 dias")</f>
        <v>#N/A</v>
      </c>
      <c r="I2" s="27" t="s">
        <v>18</v>
      </c>
      <c r="J2" s="26"/>
    </row>
    <row r="3" spans="1:23" x14ac:dyDescent="0.25">
      <c r="A3">
        <f>'Pedidos de Venda'!A8</f>
        <v>0</v>
      </c>
      <c r="B3">
        <f>'Pedidos de Venda'!C8</f>
        <v>0</v>
      </c>
      <c r="C3">
        <f>'Pedidos de Venda'!B8</f>
        <v>0</v>
      </c>
      <c r="D3" s="65" t="e">
        <f>IF(F3&lt;=0, VLOOKUP(C3, [1]Localização!A:R, 18, FALSE), "Em estoque")</f>
        <v>#N/A</v>
      </c>
      <c r="E3" t="e">
        <f>VLOOKUP(Tabela1[[#This Row],[Código (SKU)]],Necessidade!B:P,15,FALSE)</f>
        <v>#N/A</v>
      </c>
      <c r="F3" t="e">
        <f>Tabela1[[#This Row],[Estoque Virtual]]-Tabela1[[#This Row],[Qtd]]</f>
        <v>#N/A</v>
      </c>
      <c r="G3" s="12" t="e">
        <f>IF(OR(Tabela1[[#This Row],[Análise]]="Em estoque",Tabela1[[#This Row],[Análise]]=$V$4),"Atende 7 dias","Atende 30 dias")</f>
        <v>#N/A</v>
      </c>
      <c r="L3" s="17"/>
      <c r="M3" s="29"/>
      <c r="N3" s="29"/>
      <c r="O3" s="29"/>
      <c r="P3" s="29"/>
      <c r="Q3" s="29"/>
      <c r="R3" s="29"/>
      <c r="S3" s="29"/>
      <c r="T3" s="11"/>
    </row>
    <row r="4" spans="1:23" x14ac:dyDescent="0.25">
      <c r="A4">
        <f>'Pedidos de Venda'!A10</f>
        <v>0</v>
      </c>
      <c r="B4">
        <f>'Pedidos de Venda'!C10</f>
        <v>0</v>
      </c>
      <c r="C4">
        <f>'Pedidos de Venda'!B10</f>
        <v>0</v>
      </c>
      <c r="D4" s="65" t="e">
        <f>IF(F4&lt;=0, VLOOKUP(C4, [1]Localização!A:R, 18, FALSE), "Em estoque")</f>
        <v>#N/A</v>
      </c>
      <c r="E4" t="e">
        <f>VLOOKUP(Tabela1[[#This Row],[Código (SKU)]],Necessidade!B:P,15,FALSE)</f>
        <v>#N/A</v>
      </c>
      <c r="F4" t="e">
        <f>Tabela1[[#This Row],[Estoque Virtual]]-Tabela1[[#This Row],[Qtd]]</f>
        <v>#N/A</v>
      </c>
      <c r="G4" s="12" t="e">
        <f>IF(OR(Tabela1[[#This Row],[Análise]]="Em estoque",Tabela1[[#This Row],[Análise]]=$V$4),"Atende 7 dias","Atende 30 dias")</f>
        <v>#N/A</v>
      </c>
      <c r="L4" s="30"/>
      <c r="M4" s="31"/>
      <c r="N4" s="31"/>
      <c r="O4" s="31"/>
      <c r="P4" s="31"/>
      <c r="Q4" s="31"/>
      <c r="R4" s="31"/>
      <c r="S4" s="31"/>
      <c r="T4" s="32"/>
      <c r="V4" s="28" t="s">
        <v>640</v>
      </c>
      <c r="W4" s="16"/>
    </row>
    <row r="5" spans="1:23" x14ac:dyDescent="0.25">
      <c r="A5">
        <f>'Pedidos de Venda'!A11</f>
        <v>0</v>
      </c>
      <c r="B5">
        <f>'Pedidos de Venda'!C11</f>
        <v>0</v>
      </c>
      <c r="C5">
        <f>'Pedidos de Venda'!B11</f>
        <v>0</v>
      </c>
      <c r="D5" s="65" t="e">
        <f>IF(F5&lt;=0, VLOOKUP(C5, [1]Localização!A:R, 18, FALSE), "Em estoque")</f>
        <v>#N/A</v>
      </c>
      <c r="E5" t="e">
        <f>VLOOKUP(Tabela1[[#This Row],[Código (SKU)]],Necessidade!B:P,15,FALSE)</f>
        <v>#N/A</v>
      </c>
      <c r="F5" t="e">
        <f>Tabela1[[#This Row],[Estoque Virtual]]-Tabela1[[#This Row],[Qtd]]</f>
        <v>#N/A</v>
      </c>
      <c r="G5" s="12" t="e">
        <f>IF(OR(Tabela1[[#This Row],[Análise]]="Em estoque",Tabela1[[#This Row],[Análise]]=$V$4),"Atende 7 dias","Atende 30 dias")</f>
        <v>#N/A</v>
      </c>
      <c r="L5" s="30"/>
      <c r="M5" s="31"/>
      <c r="N5" s="31"/>
      <c r="O5" s="31"/>
      <c r="P5" s="31"/>
      <c r="Q5" s="31"/>
      <c r="R5" s="31"/>
      <c r="S5" s="31"/>
      <c r="T5" s="32"/>
      <c r="V5" s="25"/>
      <c r="W5" s="28" t="s">
        <v>642</v>
      </c>
    </row>
    <row r="6" spans="1:23" x14ac:dyDescent="0.25">
      <c r="A6">
        <f>'Pedidos de Venda'!A12</f>
        <v>0</v>
      </c>
      <c r="B6">
        <f>'Pedidos de Venda'!C12</f>
        <v>0</v>
      </c>
      <c r="C6">
        <f>'Pedidos de Venda'!B12</f>
        <v>0</v>
      </c>
      <c r="D6" s="65" t="e">
        <f>IF(F6&lt;=0, VLOOKUP(C6, [1]Localização!A:R, 18, FALSE), "Em estoque")</f>
        <v>#N/A</v>
      </c>
      <c r="E6" t="e">
        <f>VLOOKUP(Tabela1[[#This Row],[Código (SKU)]],Necessidade!B:P,15,FALSE)</f>
        <v>#N/A</v>
      </c>
      <c r="F6" t="e">
        <f>Tabela1[[#This Row],[Estoque Virtual]]-Tabela1[[#This Row],[Qtd]]</f>
        <v>#N/A</v>
      </c>
      <c r="G6" s="12" t="e">
        <f>IF(OR(Tabela1[[#This Row],[Análise]]="Em estoque",Tabela1[[#This Row],[Análise]]=$V$4),"Atende 7 dias","Atende 30 dias")</f>
        <v>#N/A</v>
      </c>
      <c r="L6" s="30"/>
      <c r="M6" s="31"/>
      <c r="N6" s="31"/>
      <c r="O6" s="31"/>
      <c r="P6" s="31"/>
      <c r="Q6" s="31"/>
      <c r="R6" s="31"/>
      <c r="S6" s="31"/>
      <c r="T6" s="32"/>
    </row>
    <row r="7" spans="1:23" x14ac:dyDescent="0.25">
      <c r="A7">
        <f>'Pedidos de Venda'!A13</f>
        <v>0</v>
      </c>
      <c r="B7">
        <f>'Pedidos de Venda'!C13</f>
        <v>0</v>
      </c>
      <c r="C7">
        <f>'Pedidos de Venda'!B13</f>
        <v>0</v>
      </c>
      <c r="D7" s="65" t="e">
        <f>IF(F7&lt;=0, VLOOKUP(C7, [1]Localização!A:R, 18, FALSE), "Em estoque")</f>
        <v>#N/A</v>
      </c>
      <c r="E7" t="e">
        <f>VLOOKUP(Tabela1[[#This Row],[Código (SKU)]],Necessidade!B:P,15,FALSE)</f>
        <v>#N/A</v>
      </c>
      <c r="F7" t="e">
        <f>Tabela1[[#This Row],[Estoque Virtual]]-Tabela1[[#This Row],[Qtd]]</f>
        <v>#N/A</v>
      </c>
      <c r="G7" s="12" t="e">
        <f>IF(OR(Tabela1[[#This Row],[Análise]]="Em estoque",Tabela1[[#This Row],[Análise]]=$V$4),"Atende 7 dias","Atende 30 dias")</f>
        <v>#N/A</v>
      </c>
      <c r="L7" s="30"/>
      <c r="M7" s="31"/>
      <c r="N7" s="31"/>
      <c r="O7" s="31"/>
      <c r="P7" s="31"/>
      <c r="Q7" s="31"/>
      <c r="R7" s="31"/>
      <c r="S7" s="31"/>
      <c r="T7" s="32"/>
    </row>
    <row r="8" spans="1:23" x14ac:dyDescent="0.25">
      <c r="A8">
        <f>'Pedidos de Venda'!A14</f>
        <v>0</v>
      </c>
      <c r="B8">
        <f>'Pedidos de Venda'!C14</f>
        <v>0</v>
      </c>
      <c r="C8">
        <f>'Pedidos de Venda'!B14</f>
        <v>0</v>
      </c>
      <c r="D8" s="65" t="e">
        <f>IF(F8&lt;=0, VLOOKUP(C8, [1]Localização!A:R, 18, FALSE), "Em estoque")</f>
        <v>#N/A</v>
      </c>
      <c r="E8" t="e">
        <f>VLOOKUP(Tabela1[[#This Row],[Código (SKU)]],Necessidade!B:P,15,FALSE)</f>
        <v>#N/A</v>
      </c>
      <c r="F8" t="e">
        <f>Tabela1[[#This Row],[Estoque Virtual]]-Tabela1[[#This Row],[Qtd]]</f>
        <v>#N/A</v>
      </c>
      <c r="G8" s="12" t="e">
        <f>IF(OR(Tabela1[[#This Row],[Análise]]="Em estoque",Tabela1[[#This Row],[Análise]]=$V$4),"Atende 7 dias","Atende 30 dias")</f>
        <v>#N/A</v>
      </c>
      <c r="L8" s="30"/>
      <c r="M8" s="31"/>
      <c r="N8" s="31"/>
      <c r="O8" s="31"/>
      <c r="P8" s="31"/>
      <c r="Q8" s="31"/>
      <c r="R8" s="31"/>
      <c r="S8" s="31"/>
      <c r="T8" s="32"/>
    </row>
    <row r="9" spans="1:23" x14ac:dyDescent="0.25">
      <c r="A9">
        <f>'Pedidos de Venda'!A15</f>
        <v>0</v>
      </c>
      <c r="B9">
        <f>'Pedidos de Venda'!C15</f>
        <v>0</v>
      </c>
      <c r="C9">
        <f>'Pedidos de Venda'!B15</f>
        <v>0</v>
      </c>
      <c r="D9" s="65" t="e">
        <f>IF(F9&lt;=0, VLOOKUP(C9, [1]Localização!A:R, 18, FALSE), "Em estoque")</f>
        <v>#N/A</v>
      </c>
      <c r="E9" t="e">
        <f>VLOOKUP(Tabela1[[#This Row],[Código (SKU)]],Necessidade!B:P,15,FALSE)</f>
        <v>#N/A</v>
      </c>
      <c r="F9" t="e">
        <f>Tabela1[[#This Row],[Estoque Virtual]]-Tabela1[[#This Row],[Qtd]]</f>
        <v>#N/A</v>
      </c>
      <c r="G9" s="12" t="e">
        <f>IF(OR(Tabela1[[#This Row],[Análise]]="Em estoque",Tabela1[[#This Row],[Análise]]=$V$4),"Atende 7 dias","Atende 30 dias")</f>
        <v>#N/A</v>
      </c>
      <c r="L9" s="30"/>
      <c r="M9" s="31"/>
      <c r="N9" s="31"/>
      <c r="O9" s="31"/>
      <c r="P9" s="31"/>
      <c r="Q9" s="31"/>
      <c r="R9" s="31"/>
      <c r="S9" s="31"/>
      <c r="T9" s="32"/>
    </row>
    <row r="10" spans="1:23" x14ac:dyDescent="0.25">
      <c r="A10">
        <f>'Pedidos de Venda'!A16</f>
        <v>0</v>
      </c>
      <c r="B10">
        <f>'Pedidos de Venda'!C16</f>
        <v>0</v>
      </c>
      <c r="C10">
        <f>'Pedidos de Venda'!B16</f>
        <v>0</v>
      </c>
      <c r="D10" s="65" t="e">
        <f>IF(F10&lt;=0, VLOOKUP(C10, [1]Localização!A:R, 18, FALSE), "Em estoque")</f>
        <v>#N/A</v>
      </c>
      <c r="E10" t="e">
        <f>VLOOKUP(Tabela1[[#This Row],[Código (SKU)]],Necessidade!B:P,15,FALSE)</f>
        <v>#N/A</v>
      </c>
      <c r="F10" t="e">
        <f>Tabela1[[#This Row],[Estoque Virtual]]-Tabela1[[#This Row],[Qtd]]</f>
        <v>#N/A</v>
      </c>
      <c r="G10" s="12" t="e">
        <f>IF(OR(Tabela1[[#This Row],[Análise]]="Em estoque",Tabela1[[#This Row],[Análise]]=$V$4),"Atende 7 dias","Atende 30 dias")</f>
        <v>#N/A</v>
      </c>
      <c r="L10" s="30"/>
      <c r="M10" s="31"/>
      <c r="N10" s="31"/>
      <c r="O10" s="31"/>
      <c r="P10" s="31"/>
      <c r="Q10" s="31"/>
      <c r="R10" s="31"/>
      <c r="S10" s="31"/>
      <c r="T10" s="32"/>
    </row>
    <row r="11" spans="1:23" x14ac:dyDescent="0.25">
      <c r="A11">
        <f>'Pedidos de Venda'!A17</f>
        <v>0</v>
      </c>
      <c r="B11">
        <f>'Pedidos de Venda'!C17</f>
        <v>0</v>
      </c>
      <c r="C11">
        <f>'Pedidos de Venda'!B17</f>
        <v>0</v>
      </c>
      <c r="D11" s="65" t="e">
        <f>IF(F11&lt;=0, VLOOKUP(C11, [1]Localização!A:R, 18, FALSE), "Em estoque")</f>
        <v>#N/A</v>
      </c>
      <c r="E11" t="e">
        <f>VLOOKUP(Tabela1[[#This Row],[Código (SKU)]],Necessidade!B:P,15,FALSE)</f>
        <v>#N/A</v>
      </c>
      <c r="F11" t="e">
        <f>Tabela1[[#This Row],[Estoque Virtual]]-Tabela1[[#This Row],[Qtd]]</f>
        <v>#N/A</v>
      </c>
      <c r="G11" s="12" t="e">
        <f>IF(OR(Tabela1[[#This Row],[Análise]]="Em estoque",Tabela1[[#This Row],[Análise]]=$V$4),"Atende 7 dias","Atende 30 dias")</f>
        <v>#N/A</v>
      </c>
      <c r="L11" s="30"/>
      <c r="M11" s="31"/>
      <c r="N11" s="31"/>
      <c r="O11" s="31"/>
      <c r="P11" s="31"/>
      <c r="Q11" s="31"/>
      <c r="R11" s="31"/>
      <c r="S11" s="31"/>
      <c r="T11" s="32"/>
    </row>
    <row r="12" spans="1:23" x14ac:dyDescent="0.25">
      <c r="A12">
        <f>'Pedidos de Venda'!A18</f>
        <v>0</v>
      </c>
      <c r="B12">
        <f>'Pedidos de Venda'!C18</f>
        <v>0</v>
      </c>
      <c r="C12">
        <f>'Pedidos de Venda'!B18</f>
        <v>0</v>
      </c>
      <c r="D12" s="65" t="e">
        <f>IF(F12&lt;=0, VLOOKUP(C12, [1]Localização!A:R, 18, FALSE), "Em estoque")</f>
        <v>#N/A</v>
      </c>
      <c r="E12" t="e">
        <f>VLOOKUP(Tabela1[[#This Row],[Código (SKU)]],Necessidade!B:P,15,FALSE)</f>
        <v>#N/A</v>
      </c>
      <c r="F12" t="e">
        <f>Tabela1[[#This Row],[Estoque Virtual]]-Tabela1[[#This Row],[Qtd]]</f>
        <v>#N/A</v>
      </c>
      <c r="G12" s="12" t="e">
        <f>IF(OR(Tabela1[[#This Row],[Análise]]="Em estoque",Tabela1[[#This Row],[Análise]]=$V$4),"Atende 7 dias","Atende 30 dias")</f>
        <v>#N/A</v>
      </c>
      <c r="L12" s="30"/>
      <c r="M12" s="31"/>
      <c r="N12" s="31"/>
      <c r="O12" s="31"/>
      <c r="P12" s="31"/>
      <c r="Q12" s="31"/>
      <c r="R12" s="31"/>
      <c r="S12" s="31"/>
      <c r="T12" s="32"/>
    </row>
    <row r="13" spans="1:23" x14ac:dyDescent="0.25">
      <c r="A13">
        <f>'Pedidos de Venda'!A19</f>
        <v>0</v>
      </c>
      <c r="B13">
        <f>'Pedidos de Venda'!C19</f>
        <v>0</v>
      </c>
      <c r="C13">
        <f>'Pedidos de Venda'!B19</f>
        <v>0</v>
      </c>
      <c r="D13" s="65" t="e">
        <f>IF(F13&lt;=0, VLOOKUP(C13, [1]Localização!A:R, 18, FALSE), "Em estoque")</f>
        <v>#N/A</v>
      </c>
      <c r="E13" t="e">
        <f>VLOOKUP(Tabela1[[#This Row],[Código (SKU)]],Necessidade!B:P,15,FALSE)</f>
        <v>#N/A</v>
      </c>
      <c r="F13" t="e">
        <f>Tabela1[[#This Row],[Estoque Virtual]]-Tabela1[[#This Row],[Qtd]]</f>
        <v>#N/A</v>
      </c>
      <c r="G13" s="12" t="e">
        <f>IF(OR(Tabela1[[#This Row],[Análise]]="Em estoque",Tabela1[[#This Row],[Análise]]=$V$4),"Atende 7 dias","Atende 30 dias")</f>
        <v>#N/A</v>
      </c>
      <c r="L13" s="30"/>
      <c r="M13" s="31"/>
      <c r="N13" s="31"/>
      <c r="O13" s="31"/>
      <c r="P13" s="31"/>
      <c r="Q13" s="31"/>
      <c r="R13" s="31"/>
      <c r="S13" s="31"/>
      <c r="T13" s="32"/>
      <c r="V13" s="89" t="s">
        <v>26</v>
      </c>
      <c r="W13" s="89"/>
    </row>
    <row r="14" spans="1:23" x14ac:dyDescent="0.25">
      <c r="A14">
        <f>'Pedidos de Venda'!A20</f>
        <v>0</v>
      </c>
      <c r="B14">
        <f>'Pedidos de Venda'!C20</f>
        <v>0</v>
      </c>
      <c r="C14">
        <f>'Pedidos de Venda'!B20</f>
        <v>0</v>
      </c>
      <c r="D14" s="65" t="e">
        <f>IF(F14&lt;=0, VLOOKUP(C14, [1]Localização!A:R, 18, FALSE), "Em estoque")</f>
        <v>#N/A</v>
      </c>
      <c r="E14" t="e">
        <f>VLOOKUP(Tabela1[[#This Row],[Código (SKU)]],Necessidade!B:P,15,FALSE)</f>
        <v>#N/A</v>
      </c>
      <c r="F14" t="e">
        <f>Tabela1[[#This Row],[Estoque Virtual]]-Tabela1[[#This Row],[Qtd]]</f>
        <v>#N/A</v>
      </c>
      <c r="G14" s="12" t="e">
        <f>IF(OR(Tabela1[[#This Row],[Análise]]="Em estoque",Tabela1[[#This Row],[Análise]]=$V$4),"Atende 7 dias","Atende 30 dias")</f>
        <v>#N/A</v>
      </c>
      <c r="I14" s="13" t="s">
        <v>21</v>
      </c>
      <c r="J14" t="s">
        <v>20</v>
      </c>
      <c r="L14" s="30"/>
      <c r="M14" s="31"/>
      <c r="N14" s="31"/>
      <c r="O14" s="31"/>
      <c r="P14" s="31"/>
      <c r="Q14" s="31"/>
      <c r="R14" s="31"/>
      <c r="S14" s="31"/>
      <c r="T14" s="32"/>
      <c r="V14" s="20" t="s">
        <v>24</v>
      </c>
      <c r="W14" s="35" t="s">
        <v>25</v>
      </c>
    </row>
    <row r="15" spans="1:23" x14ac:dyDescent="0.25">
      <c r="A15">
        <f>'Pedidos de Venda'!A21</f>
        <v>0</v>
      </c>
      <c r="B15">
        <f>'Pedidos de Venda'!C21</f>
        <v>0</v>
      </c>
      <c r="C15">
        <f>'Pedidos de Venda'!B21</f>
        <v>0</v>
      </c>
      <c r="D15" s="65" t="e">
        <f>IF(F15&lt;=0, VLOOKUP(C15, [1]Localização!A:R, 18, FALSE), "Em estoque")</f>
        <v>#N/A</v>
      </c>
      <c r="E15" t="e">
        <f>VLOOKUP(Tabela1[[#This Row],[Código (SKU)]],Necessidade!B:P,15,FALSE)</f>
        <v>#N/A</v>
      </c>
      <c r="F15" t="e">
        <f>Tabela1[[#This Row],[Estoque Virtual]]-Tabela1[[#This Row],[Qtd]]</f>
        <v>#N/A</v>
      </c>
      <c r="G15" s="12" t="e">
        <f>IF(OR(Tabela1[[#This Row],[Análise]]="Em estoque",Tabela1[[#This Row],[Análise]]=$V$4),"Atende 7 dias","Atende 30 dias")</f>
        <v>#N/A</v>
      </c>
      <c r="I15" s="14" t="s">
        <v>656</v>
      </c>
      <c r="J15" s="66" t="e">
        <v>#DIV/0!</v>
      </c>
      <c r="L15" s="30"/>
      <c r="M15" s="31"/>
      <c r="N15" s="31"/>
      <c r="O15" s="31"/>
      <c r="P15" s="31"/>
      <c r="Q15" s="31"/>
      <c r="R15" s="31"/>
      <c r="S15" s="31"/>
      <c r="T15" s="32"/>
      <c r="V15" s="36" t="s">
        <v>651</v>
      </c>
      <c r="W15" s="11">
        <f>SUMIF($I24,"Em estoque",$J24) + SUMIF(I24,V4,J24)</f>
        <v>0</v>
      </c>
    </row>
    <row r="16" spans="1:23" x14ac:dyDescent="0.25">
      <c r="A16">
        <f>'Pedidos de Venda'!A22</f>
        <v>0</v>
      </c>
      <c r="B16">
        <f>'Pedidos de Venda'!C22</f>
        <v>0</v>
      </c>
      <c r="C16">
        <f>'Pedidos de Venda'!B22</f>
        <v>0</v>
      </c>
      <c r="D16" s="65" t="e">
        <f>IF(F16&lt;=0, VLOOKUP(C16, [1]Localização!A:R, 18, FALSE), "Em estoque")</f>
        <v>#N/A</v>
      </c>
      <c r="E16" t="e">
        <f>VLOOKUP(Tabela1[[#This Row],[Código (SKU)]],Necessidade!B:P,15,FALSE)</f>
        <v>#N/A</v>
      </c>
      <c r="F16" t="e">
        <f>Tabela1[[#This Row],[Estoque Virtual]]-Tabela1[[#This Row],[Qtd]]</f>
        <v>#N/A</v>
      </c>
      <c r="G16" s="12" t="e">
        <f>IF(OR(Tabela1[[#This Row],[Análise]]="Em estoque",Tabela1[[#This Row],[Análise]]=$V$4),"Atende 7 dias","Atende 30 dias")</f>
        <v>#N/A</v>
      </c>
      <c r="I16" s="14" t="s">
        <v>22</v>
      </c>
      <c r="J16" s="15" t="e">
        <v>#DIV/0!</v>
      </c>
      <c r="L16" s="30"/>
      <c r="M16" s="31"/>
      <c r="N16" s="31"/>
      <c r="O16" s="31"/>
      <c r="P16" s="31"/>
      <c r="Q16" s="31"/>
      <c r="R16" s="31"/>
      <c r="S16" s="31"/>
      <c r="T16" s="32"/>
      <c r="V16" s="37" t="s">
        <v>652</v>
      </c>
      <c r="W16" s="19">
        <f>SUM(Tabela1[Qtd])-W15</f>
        <v>0</v>
      </c>
    </row>
    <row r="17" spans="1:20" x14ac:dyDescent="0.25">
      <c r="A17">
        <f>'Pedidos de Venda'!A23</f>
        <v>0</v>
      </c>
      <c r="B17">
        <f>'Pedidos de Venda'!C23</f>
        <v>0</v>
      </c>
      <c r="C17">
        <f>'Pedidos de Venda'!B23</f>
        <v>0</v>
      </c>
      <c r="D17" s="65" t="e">
        <f>IF(F17&lt;=0, VLOOKUP(C17, [1]Localização!A:R, 18, FALSE), "Em estoque")</f>
        <v>#N/A</v>
      </c>
      <c r="E17" t="e">
        <f>VLOOKUP(Tabela1[[#This Row],[Código (SKU)]],Necessidade!B:P,15,FALSE)</f>
        <v>#N/A</v>
      </c>
      <c r="F17" t="e">
        <f>Tabela1[[#This Row],[Estoque Virtual]]-Tabela1[[#This Row],[Qtd]]</f>
        <v>#N/A</v>
      </c>
      <c r="G17" s="12" t="e">
        <f>IF(OR(Tabela1[[#This Row],[Análise]]="Em estoque",Tabela1[[#This Row],[Análise]]=$V$4),"Atende 7 dias","Atende 30 dias")</f>
        <v>#N/A</v>
      </c>
      <c r="L17" s="30"/>
      <c r="M17" s="31"/>
      <c r="N17" s="31"/>
      <c r="O17" s="31"/>
      <c r="P17" s="31"/>
      <c r="Q17" s="31"/>
      <c r="R17" s="31"/>
      <c r="S17" s="31"/>
      <c r="T17" s="32"/>
    </row>
    <row r="18" spans="1:20" x14ac:dyDescent="0.25">
      <c r="A18">
        <f>'Pedidos de Venda'!A24</f>
        <v>0</v>
      </c>
      <c r="B18">
        <f>'Pedidos de Venda'!C24</f>
        <v>0</v>
      </c>
      <c r="C18">
        <f>'Pedidos de Venda'!B24</f>
        <v>0</v>
      </c>
      <c r="D18" s="65" t="e">
        <f>IF(F18&lt;=0, VLOOKUP(C18, [1]Localização!A:R, 18, FALSE), "Em estoque")</f>
        <v>#N/A</v>
      </c>
      <c r="E18" t="e">
        <f>VLOOKUP(Tabela1[[#This Row],[Código (SKU)]],Necessidade!B:P,15,FALSE)</f>
        <v>#N/A</v>
      </c>
      <c r="F18" t="e">
        <f>Tabela1[[#This Row],[Estoque Virtual]]-Tabela1[[#This Row],[Qtd]]</f>
        <v>#N/A</v>
      </c>
      <c r="G18" s="12" t="e">
        <f>IF(OR(Tabela1[[#This Row],[Análise]]="Em estoque",Tabela1[[#This Row],[Análise]]=$V$4),"Atende 7 dias","Atende 30 dias")</f>
        <v>#N/A</v>
      </c>
      <c r="L18" s="30"/>
      <c r="M18" s="31"/>
      <c r="N18" s="31"/>
      <c r="O18" s="31"/>
      <c r="P18" s="31"/>
      <c r="Q18" s="31"/>
      <c r="R18" s="31"/>
      <c r="S18" s="31"/>
      <c r="T18" s="32"/>
    </row>
    <row r="19" spans="1:20" x14ac:dyDescent="0.25">
      <c r="A19">
        <f>'Pedidos de Venda'!A25</f>
        <v>0</v>
      </c>
      <c r="B19">
        <f>'Pedidos de Venda'!C25</f>
        <v>0</v>
      </c>
      <c r="C19">
        <f>'Pedidos de Venda'!B25</f>
        <v>0</v>
      </c>
      <c r="D19" s="65" t="e">
        <f>IF(F19&lt;=0, VLOOKUP(C19, [1]Localização!A:R, 18, FALSE), "Em estoque")</f>
        <v>#N/A</v>
      </c>
      <c r="E19" t="e">
        <f>VLOOKUP(Tabela1[[#This Row],[Código (SKU)]],Necessidade!B:P,15,FALSE)</f>
        <v>#N/A</v>
      </c>
      <c r="F19" t="e">
        <f>Tabela1[[#This Row],[Estoque Virtual]]-Tabela1[[#This Row],[Qtd]]</f>
        <v>#N/A</v>
      </c>
      <c r="G19" s="12" t="e">
        <f>IF(OR(Tabela1[[#This Row],[Análise]]="Em estoque",Tabela1[[#This Row],[Análise]]=$V$4),"Atende 7 dias","Atende 30 dias")</f>
        <v>#N/A</v>
      </c>
      <c r="L19" s="18"/>
      <c r="M19" s="33"/>
      <c r="N19" s="33"/>
      <c r="O19" s="33"/>
      <c r="P19" s="33"/>
      <c r="Q19" s="33"/>
      <c r="R19" s="33"/>
      <c r="S19" s="33"/>
      <c r="T19" s="19"/>
    </row>
    <row r="20" spans="1:20" x14ac:dyDescent="0.25">
      <c r="A20">
        <f>'Pedidos de Venda'!A26</f>
        <v>0</v>
      </c>
      <c r="B20">
        <f>'Pedidos de Venda'!C26</f>
        <v>0</v>
      </c>
      <c r="C20">
        <f>'Pedidos de Venda'!B26</f>
        <v>0</v>
      </c>
      <c r="D20" s="65" t="e">
        <f>IF(F20&lt;=0, VLOOKUP(C20, [1]Localização!A:R, 18, FALSE), "Em estoque")</f>
        <v>#N/A</v>
      </c>
      <c r="E20" t="e">
        <f>VLOOKUP(Tabela1[[#This Row],[Código (SKU)]],Necessidade!B:P,15,FALSE)</f>
        <v>#N/A</v>
      </c>
      <c r="F20" t="e">
        <f>Tabela1[[#This Row],[Estoque Virtual]]-Tabela1[[#This Row],[Qtd]]</f>
        <v>#N/A</v>
      </c>
      <c r="G20" s="12" t="e">
        <f>IF(OR(Tabela1[[#This Row],[Análise]]="Em estoque",Tabela1[[#This Row],[Análise]]=$V$4),"Atende 7 dias","Atende 30 dias")</f>
        <v>#N/A</v>
      </c>
      <c r="L20" s="17"/>
      <c r="M20" s="29"/>
      <c r="N20" s="29"/>
      <c r="O20" s="29"/>
      <c r="P20" s="29"/>
      <c r="Q20" s="29"/>
      <c r="R20" s="29"/>
      <c r="S20" s="29"/>
      <c r="T20" s="11"/>
    </row>
    <row r="21" spans="1:20" x14ac:dyDescent="0.25">
      <c r="A21">
        <f>'Pedidos de Venda'!A27</f>
        <v>0</v>
      </c>
      <c r="B21">
        <f>'Pedidos de Venda'!C27</f>
        <v>0</v>
      </c>
      <c r="C21">
        <f>'Pedidos de Venda'!B27</f>
        <v>0</v>
      </c>
      <c r="D21" s="65" t="e">
        <f>IF(F21&lt;=0, VLOOKUP(C21, [1]Localização!A:R, 18, FALSE), "Em estoque")</f>
        <v>#N/A</v>
      </c>
      <c r="E21" t="e">
        <f>VLOOKUP(Tabela1[[#This Row],[Código (SKU)]],Necessidade!B:P,15,FALSE)</f>
        <v>#N/A</v>
      </c>
      <c r="F21" t="e">
        <f>Tabela1[[#This Row],[Estoque Virtual]]-Tabela1[[#This Row],[Qtd]]</f>
        <v>#N/A</v>
      </c>
      <c r="G21" s="12" t="e">
        <f>IF(OR(Tabela1[[#This Row],[Análise]]="Em estoque",Tabela1[[#This Row],[Análise]]=$V$4),"Atende 7 dias","Atende 30 dias")</f>
        <v>#N/A</v>
      </c>
      <c r="L21" s="30"/>
      <c r="M21" s="31"/>
      <c r="N21" s="31"/>
      <c r="O21" s="31"/>
      <c r="P21" s="31"/>
      <c r="Q21" s="31"/>
      <c r="R21" s="31"/>
      <c r="S21" s="31"/>
      <c r="T21" s="32"/>
    </row>
    <row r="22" spans="1:20" x14ac:dyDescent="0.25">
      <c r="A22">
        <f>'Pedidos de Venda'!A28</f>
        <v>0</v>
      </c>
      <c r="B22">
        <f>'Pedidos de Venda'!C28</f>
        <v>0</v>
      </c>
      <c r="C22">
        <f>'Pedidos de Venda'!B28</f>
        <v>0</v>
      </c>
      <c r="D22" s="65" t="e">
        <f>IF(F22&lt;=0, VLOOKUP(C22, [1]Localização!A:R, 18, FALSE), "Em estoque")</f>
        <v>#N/A</v>
      </c>
      <c r="E22" t="e">
        <f>VLOOKUP(Tabela1[[#This Row],[Código (SKU)]],Necessidade!B:P,15,FALSE)</f>
        <v>#N/A</v>
      </c>
      <c r="F22" t="e">
        <f>Tabela1[[#This Row],[Estoque Virtual]]-Tabela1[[#This Row],[Qtd]]</f>
        <v>#N/A</v>
      </c>
      <c r="G22" s="12" t="e">
        <f>IF(OR(Tabela1[[#This Row],[Análise]]="Em estoque",Tabela1[[#This Row],[Análise]]=$V$4),"Atende 7 dias","Atende 30 dias")</f>
        <v>#N/A</v>
      </c>
      <c r="L22" s="30"/>
      <c r="M22" s="31"/>
      <c r="N22" s="31"/>
      <c r="O22" s="31"/>
      <c r="P22" s="31"/>
      <c r="Q22" s="31"/>
      <c r="R22" s="31"/>
      <c r="S22" s="31"/>
      <c r="T22" s="32"/>
    </row>
    <row r="23" spans="1:20" x14ac:dyDescent="0.25">
      <c r="A23">
        <f>'Pedidos de Venda'!A29</f>
        <v>0</v>
      </c>
      <c r="B23">
        <f>'Pedidos de Venda'!C29</f>
        <v>0</v>
      </c>
      <c r="C23">
        <f>'Pedidos de Venda'!B29</f>
        <v>0</v>
      </c>
      <c r="D23" s="65" t="e">
        <f>IF(F23&lt;=0, VLOOKUP(C23, [1]Localização!A:R, 18, FALSE), "Em estoque")</f>
        <v>#N/A</v>
      </c>
      <c r="E23" t="e">
        <f>VLOOKUP(Tabela1[[#This Row],[Código (SKU)]],Necessidade!B:P,15,FALSE)</f>
        <v>#N/A</v>
      </c>
      <c r="F23" t="e">
        <f>Tabela1[[#This Row],[Estoque Virtual]]-Tabela1[[#This Row],[Qtd]]</f>
        <v>#N/A</v>
      </c>
      <c r="G23" s="12" t="e">
        <f>IF(OR(Tabela1[[#This Row],[Análise]]="Em estoque",Tabela1[[#This Row],[Análise]]=$V$4),"Atende 7 dias","Atende 30 dias")</f>
        <v>#N/A</v>
      </c>
      <c r="I23" s="13" t="s">
        <v>21</v>
      </c>
      <c r="J23" t="s">
        <v>23</v>
      </c>
      <c r="L23" s="30"/>
      <c r="M23" s="31"/>
      <c r="N23" s="31"/>
      <c r="O23" s="31"/>
      <c r="P23" s="31"/>
      <c r="Q23" s="31"/>
      <c r="R23" s="31"/>
      <c r="S23" s="31"/>
      <c r="T23" s="32"/>
    </row>
    <row r="24" spans="1:20" x14ac:dyDescent="0.25">
      <c r="A24">
        <f>'Pedidos de Venda'!A30</f>
        <v>0</v>
      </c>
      <c r="B24">
        <f>'Pedidos de Venda'!C30</f>
        <v>0</v>
      </c>
      <c r="C24">
        <f>'Pedidos de Venda'!B30</f>
        <v>0</v>
      </c>
      <c r="D24" s="65" t="e">
        <f>IF(F24&lt;=0, VLOOKUP(C24, [1]Localização!A:R, 18, FALSE), "Em estoque")</f>
        <v>#N/A</v>
      </c>
      <c r="E24" t="e">
        <f>VLOOKUP(Tabela1[[#This Row],[Código (SKU)]],Necessidade!B:P,15,FALSE)</f>
        <v>#N/A</v>
      </c>
      <c r="F24" t="e">
        <f>Tabela1[[#This Row],[Estoque Virtual]]-Tabela1[[#This Row],[Qtd]]</f>
        <v>#N/A</v>
      </c>
      <c r="G24" s="12" t="e">
        <f>IF(OR(Tabela1[[#This Row],[Análise]]="Em estoque",Tabela1[[#This Row],[Análise]]=$V$4),"Atende 7 dias","Atende 30 dias")</f>
        <v>#N/A</v>
      </c>
      <c r="I24" s="14" t="s">
        <v>656</v>
      </c>
      <c r="J24" s="12">
        <v>0</v>
      </c>
      <c r="L24" s="30"/>
      <c r="M24" s="31"/>
      <c r="N24" s="31"/>
      <c r="O24" s="31"/>
      <c r="P24" s="31"/>
      <c r="Q24" s="31"/>
      <c r="R24" s="31"/>
      <c r="S24" s="31"/>
      <c r="T24" s="32"/>
    </row>
    <row r="25" spans="1:20" x14ac:dyDescent="0.25">
      <c r="A25">
        <f>'Pedidos de Venda'!A31</f>
        <v>0</v>
      </c>
      <c r="B25">
        <f>'Pedidos de Venda'!C31</f>
        <v>0</v>
      </c>
      <c r="C25">
        <f>'Pedidos de Venda'!B31</f>
        <v>0</v>
      </c>
      <c r="D25" s="65" t="e">
        <f>IF(F25&lt;=0, VLOOKUP(C25, [1]Localização!A:R, 18, FALSE), "Em estoque")</f>
        <v>#N/A</v>
      </c>
      <c r="E25" t="e">
        <f>VLOOKUP(Tabela1[[#This Row],[Código (SKU)]],Necessidade!B:P,15,FALSE)</f>
        <v>#N/A</v>
      </c>
      <c r="F25" t="e">
        <f>Tabela1[[#This Row],[Estoque Virtual]]-Tabela1[[#This Row],[Qtd]]</f>
        <v>#N/A</v>
      </c>
      <c r="G25" s="12" t="e">
        <f>IF(OR(Tabela1[[#This Row],[Análise]]="Em estoque",Tabela1[[#This Row],[Análise]]=$V$4),"Atende 7 dias","Atende 30 dias")</f>
        <v>#N/A</v>
      </c>
      <c r="I25" s="14" t="s">
        <v>22</v>
      </c>
      <c r="J25" s="12">
        <v>0</v>
      </c>
      <c r="L25" s="30"/>
      <c r="M25" s="31"/>
      <c r="N25" s="31"/>
      <c r="O25" s="31"/>
      <c r="P25" s="31"/>
      <c r="Q25" s="31"/>
      <c r="R25" s="31"/>
      <c r="S25" s="31"/>
      <c r="T25" s="32"/>
    </row>
    <row r="26" spans="1:20" x14ac:dyDescent="0.25">
      <c r="A26">
        <f>'Pedidos de Venda'!A32</f>
        <v>0</v>
      </c>
      <c r="B26">
        <f>'Pedidos de Venda'!C32</f>
        <v>0</v>
      </c>
      <c r="C26">
        <f>'Pedidos de Venda'!B32</f>
        <v>0</v>
      </c>
      <c r="D26" s="65" t="e">
        <f>IF(F26&lt;=0, VLOOKUP(C26, [1]Localização!A:R, 18, FALSE), "Em estoque")</f>
        <v>#N/A</v>
      </c>
      <c r="E26" t="e">
        <f>VLOOKUP(Tabela1[[#This Row],[Código (SKU)]],Necessidade!B:P,15,FALSE)</f>
        <v>#N/A</v>
      </c>
      <c r="F26" t="e">
        <f>Tabela1[[#This Row],[Estoque Virtual]]-Tabela1[[#This Row],[Qtd]]</f>
        <v>#N/A</v>
      </c>
      <c r="G26" s="12" t="e">
        <f>IF(OR(Tabela1[[#This Row],[Análise]]="Em estoque",Tabela1[[#This Row],[Análise]]=$V$4),"Atende 7 dias","Atende 30 dias")</f>
        <v>#N/A</v>
      </c>
      <c r="L26" s="30"/>
      <c r="M26" s="31"/>
      <c r="N26" s="31"/>
      <c r="O26" s="31"/>
      <c r="P26" s="31"/>
      <c r="Q26" s="31"/>
      <c r="R26" s="31"/>
      <c r="S26" s="31"/>
      <c r="T26" s="32"/>
    </row>
    <row r="27" spans="1:20" x14ac:dyDescent="0.25">
      <c r="A27">
        <f>'Pedidos de Venda'!A33</f>
        <v>0</v>
      </c>
      <c r="B27">
        <f>'Pedidos de Venda'!C33</f>
        <v>0</v>
      </c>
      <c r="C27">
        <f>'Pedidos de Venda'!B33</f>
        <v>0</v>
      </c>
      <c r="D27" s="65" t="e">
        <f>IF(F27&lt;=0, VLOOKUP(C27, [1]Localização!A:R, 18, FALSE), "Em estoque")</f>
        <v>#N/A</v>
      </c>
      <c r="E27" t="e">
        <f>VLOOKUP(Tabela1[[#This Row],[Código (SKU)]],Necessidade!B:P,15,FALSE)</f>
        <v>#N/A</v>
      </c>
      <c r="F27" t="e">
        <f>Tabela1[[#This Row],[Estoque Virtual]]-Tabela1[[#This Row],[Qtd]]</f>
        <v>#N/A</v>
      </c>
      <c r="G27" s="12" t="e">
        <f>IF(OR(Tabela1[[#This Row],[Análise]]="Em estoque",Tabela1[[#This Row],[Análise]]=$V$4),"Atende 7 dias","Atende 30 dias")</f>
        <v>#N/A</v>
      </c>
      <c r="L27" s="30"/>
      <c r="M27" s="31"/>
      <c r="N27" s="31"/>
      <c r="O27" s="31"/>
      <c r="P27" s="31"/>
      <c r="Q27" s="31"/>
      <c r="R27" s="31"/>
      <c r="S27" s="31"/>
      <c r="T27" s="32"/>
    </row>
    <row r="28" spans="1:20" x14ac:dyDescent="0.25">
      <c r="A28">
        <f>'Pedidos de Venda'!A34</f>
        <v>0</v>
      </c>
      <c r="B28">
        <f>'Pedidos de Venda'!C34</f>
        <v>0</v>
      </c>
      <c r="C28">
        <f>'Pedidos de Venda'!B34</f>
        <v>0</v>
      </c>
      <c r="D28" s="65" t="e">
        <f>IF(F28&lt;=0, VLOOKUP(C28, [1]Localização!A:R, 18, FALSE), "Em estoque")</f>
        <v>#N/A</v>
      </c>
      <c r="E28" t="e">
        <f>VLOOKUP(Tabela1[[#This Row],[Código (SKU)]],Necessidade!B:P,15,FALSE)</f>
        <v>#N/A</v>
      </c>
      <c r="F28" t="e">
        <f>Tabela1[[#This Row],[Estoque Virtual]]-Tabela1[[#This Row],[Qtd]]</f>
        <v>#N/A</v>
      </c>
      <c r="G28" s="12" t="e">
        <f>IF(OR(Tabela1[[#This Row],[Análise]]="Em estoque",Tabela1[[#This Row],[Análise]]=$V$4),"Atende 7 dias","Atende 30 dias")</f>
        <v>#N/A</v>
      </c>
      <c r="L28" s="30"/>
      <c r="M28" s="31"/>
      <c r="N28" s="31"/>
      <c r="O28" s="31"/>
      <c r="P28" s="31"/>
      <c r="Q28" s="31"/>
      <c r="R28" s="31"/>
      <c r="S28" s="31"/>
      <c r="T28" s="32"/>
    </row>
    <row r="29" spans="1:20" x14ac:dyDescent="0.25">
      <c r="A29">
        <f>'Pedidos de Venda'!A35</f>
        <v>0</v>
      </c>
      <c r="B29">
        <f>'Pedidos de Venda'!C35</f>
        <v>0</v>
      </c>
      <c r="C29">
        <f>'Pedidos de Venda'!B35</f>
        <v>0</v>
      </c>
      <c r="D29" s="65" t="e">
        <f>IF(F29&lt;=0, VLOOKUP(C29, [1]Localização!A:R, 18, FALSE), "Em estoque")</f>
        <v>#N/A</v>
      </c>
      <c r="E29" t="e">
        <f>VLOOKUP(Tabela1[[#This Row],[Código (SKU)]],Necessidade!B:P,15,FALSE)</f>
        <v>#N/A</v>
      </c>
      <c r="F29" t="e">
        <f>Tabela1[[#This Row],[Estoque Virtual]]-Tabela1[[#This Row],[Qtd]]</f>
        <v>#N/A</v>
      </c>
      <c r="G29" s="12" t="e">
        <f>IF(OR(Tabela1[[#This Row],[Análise]]="Em estoque",Tabela1[[#This Row],[Análise]]=$V$4),"Atende 7 dias","Atende 30 dias")</f>
        <v>#N/A</v>
      </c>
      <c r="L29" s="30"/>
      <c r="M29" s="31"/>
      <c r="N29" s="31"/>
      <c r="O29" s="31"/>
      <c r="P29" s="31"/>
      <c r="Q29" s="31"/>
      <c r="R29" s="31"/>
      <c r="S29" s="31"/>
      <c r="T29" s="32"/>
    </row>
    <row r="30" spans="1:20" x14ac:dyDescent="0.25">
      <c r="A30">
        <f>'Pedidos de Venda'!A36</f>
        <v>0</v>
      </c>
      <c r="B30">
        <f>'Pedidos de Venda'!C36</f>
        <v>0</v>
      </c>
      <c r="C30">
        <f>'Pedidos de Venda'!B36</f>
        <v>0</v>
      </c>
      <c r="D30" s="65" t="e">
        <f>IF(F30&lt;=0, VLOOKUP(C30, [1]Localização!A:R, 18, FALSE), "Em estoque")</f>
        <v>#N/A</v>
      </c>
      <c r="E30" t="e">
        <f>VLOOKUP(Tabela1[[#This Row],[Código (SKU)]],Necessidade!B:P,15,FALSE)</f>
        <v>#N/A</v>
      </c>
      <c r="F30" t="e">
        <f>Tabela1[[#This Row],[Estoque Virtual]]-Tabela1[[#This Row],[Qtd]]</f>
        <v>#N/A</v>
      </c>
      <c r="G30" s="12" t="e">
        <f>IF(OR(Tabela1[[#This Row],[Análise]]="Em estoque",Tabela1[[#This Row],[Análise]]=$V$4),"Atende 7 dias","Atende 30 dias")</f>
        <v>#N/A</v>
      </c>
      <c r="L30" s="30"/>
      <c r="M30" s="31"/>
      <c r="N30" s="31"/>
      <c r="O30" s="31"/>
      <c r="P30" s="31"/>
      <c r="Q30" s="31"/>
      <c r="R30" s="31"/>
      <c r="S30" s="31"/>
      <c r="T30" s="32"/>
    </row>
    <row r="31" spans="1:20" x14ac:dyDescent="0.25">
      <c r="A31">
        <f>'Pedidos de Venda'!A37</f>
        <v>0</v>
      </c>
      <c r="B31">
        <f>'Pedidos de Venda'!C37</f>
        <v>0</v>
      </c>
      <c r="C31">
        <f>'Pedidos de Venda'!B37</f>
        <v>0</v>
      </c>
      <c r="D31" s="65" t="e">
        <f>IF(F31&lt;=0, VLOOKUP(C31, [1]Localização!A:R, 18, FALSE), "Em estoque")</f>
        <v>#N/A</v>
      </c>
      <c r="E31" t="e">
        <f>VLOOKUP(Tabela1[[#This Row],[Código (SKU)]],Necessidade!B:P,15,FALSE)</f>
        <v>#N/A</v>
      </c>
      <c r="F31" t="e">
        <f>Tabela1[[#This Row],[Estoque Virtual]]-Tabela1[[#This Row],[Qtd]]</f>
        <v>#N/A</v>
      </c>
      <c r="G31" s="12" t="e">
        <f>IF(OR(Tabela1[[#This Row],[Análise]]="Em estoque",Tabela1[[#This Row],[Análise]]=$V$4),"Atende 7 dias","Atende 30 dias")</f>
        <v>#N/A</v>
      </c>
      <c r="L31" s="30"/>
      <c r="M31" s="31"/>
      <c r="N31" s="31"/>
      <c r="O31" s="31"/>
      <c r="P31" s="31"/>
      <c r="Q31" s="31"/>
      <c r="R31" s="31"/>
      <c r="S31" s="31"/>
      <c r="T31" s="32"/>
    </row>
    <row r="32" spans="1:20" x14ac:dyDescent="0.25">
      <c r="A32">
        <f>'Pedidos de Venda'!A38</f>
        <v>0</v>
      </c>
      <c r="B32">
        <f>'Pedidos de Venda'!C38</f>
        <v>0</v>
      </c>
      <c r="C32">
        <f>'Pedidos de Venda'!B38</f>
        <v>0</v>
      </c>
      <c r="D32" s="65" t="e">
        <f>IF(F32&lt;=0, VLOOKUP(C32, [1]Localização!A:R, 18, FALSE), "Em estoque")</f>
        <v>#N/A</v>
      </c>
      <c r="E32" t="e">
        <f>VLOOKUP(Tabela1[[#This Row],[Código (SKU)]],Necessidade!B:P,15,FALSE)</f>
        <v>#N/A</v>
      </c>
      <c r="F32" t="e">
        <f>Tabela1[[#This Row],[Estoque Virtual]]-Tabela1[[#This Row],[Qtd]]</f>
        <v>#N/A</v>
      </c>
      <c r="G32" s="12" t="e">
        <f>IF(OR(Tabela1[[#This Row],[Análise]]="Em estoque",Tabela1[[#This Row],[Análise]]=$V$4),"Atende 7 dias","Atende 30 dias")</f>
        <v>#N/A</v>
      </c>
      <c r="L32" s="30"/>
      <c r="M32" s="31"/>
      <c r="N32" s="31"/>
      <c r="O32" s="31"/>
      <c r="P32" s="31"/>
      <c r="Q32" s="31"/>
      <c r="R32" s="31"/>
      <c r="S32" s="31"/>
      <c r="T32" s="32"/>
    </row>
    <row r="33" spans="1:20" x14ac:dyDescent="0.25">
      <c r="A33">
        <f>'Pedidos de Venda'!A39</f>
        <v>0</v>
      </c>
      <c r="B33">
        <f>'Pedidos de Venda'!C39</f>
        <v>0</v>
      </c>
      <c r="C33">
        <f>'Pedidos de Venda'!B39</f>
        <v>0</v>
      </c>
      <c r="D33" s="65" t="e">
        <f>IF(F33&lt;=0, VLOOKUP(C33, [1]Localização!A:R, 18, FALSE), "Em estoque")</f>
        <v>#N/A</v>
      </c>
      <c r="E33" t="e">
        <f>VLOOKUP(Tabela1[[#This Row],[Código (SKU)]],Necessidade!B:P,15,FALSE)</f>
        <v>#N/A</v>
      </c>
      <c r="F33" t="e">
        <f>Tabela1[[#This Row],[Estoque Virtual]]-Tabela1[[#This Row],[Qtd]]</f>
        <v>#N/A</v>
      </c>
      <c r="G33" s="12" t="e">
        <f>IF(OR(Tabela1[[#This Row],[Análise]]="Em estoque",Tabela1[[#This Row],[Análise]]=$V$4),"Atende 7 dias","Atende 30 dias")</f>
        <v>#N/A</v>
      </c>
      <c r="L33" s="30"/>
      <c r="M33" s="31"/>
      <c r="N33" s="31"/>
      <c r="O33" s="31"/>
      <c r="P33" s="31"/>
      <c r="Q33" s="31"/>
      <c r="R33" s="31"/>
      <c r="S33" s="31"/>
      <c r="T33" s="32"/>
    </row>
    <row r="34" spans="1:20" x14ac:dyDescent="0.25">
      <c r="A34">
        <f>'Pedidos de Venda'!A40</f>
        <v>0</v>
      </c>
      <c r="B34">
        <f>'Pedidos de Venda'!C40</f>
        <v>0</v>
      </c>
      <c r="C34">
        <f>'Pedidos de Venda'!B40</f>
        <v>0</v>
      </c>
      <c r="D34" s="65" t="e">
        <f>IF(F34&lt;=0, VLOOKUP(C34, [1]Localização!A:R, 18, FALSE), "Em estoque")</f>
        <v>#N/A</v>
      </c>
      <c r="E34" t="e">
        <f>VLOOKUP(Tabela1[[#This Row],[Código (SKU)]],Necessidade!B:P,15,FALSE)</f>
        <v>#N/A</v>
      </c>
      <c r="F34" t="e">
        <f>Tabela1[[#This Row],[Estoque Virtual]]-Tabela1[[#This Row],[Qtd]]</f>
        <v>#N/A</v>
      </c>
      <c r="G34" s="12" t="e">
        <f>IF(OR(Tabela1[[#This Row],[Análise]]="Em estoque",Tabela1[[#This Row],[Análise]]=$V$4),"Atende 7 dias","Atende 30 dias")</f>
        <v>#N/A</v>
      </c>
      <c r="L34" s="30"/>
      <c r="M34" s="31"/>
      <c r="N34" s="31"/>
      <c r="O34" s="31"/>
      <c r="P34" s="31"/>
      <c r="Q34" s="31"/>
      <c r="R34" s="31"/>
      <c r="S34" s="31"/>
      <c r="T34" s="32"/>
    </row>
    <row r="35" spans="1:20" x14ac:dyDescent="0.25">
      <c r="A35">
        <f>'Pedidos de Venda'!A41</f>
        <v>0</v>
      </c>
      <c r="B35">
        <f>'Pedidos de Venda'!C41</f>
        <v>0</v>
      </c>
      <c r="C35">
        <f>'Pedidos de Venda'!B41</f>
        <v>0</v>
      </c>
      <c r="D35" s="65" t="e">
        <f>IF(F35&lt;=0, VLOOKUP(C35, [1]Localização!A:R, 18, FALSE), "Em estoque")</f>
        <v>#N/A</v>
      </c>
      <c r="E35" t="e">
        <f>VLOOKUP(Tabela1[[#This Row],[Código (SKU)]],Necessidade!B:P,15,FALSE)</f>
        <v>#N/A</v>
      </c>
      <c r="F35" t="e">
        <f>Tabela1[[#This Row],[Estoque Virtual]]-Tabela1[[#This Row],[Qtd]]</f>
        <v>#N/A</v>
      </c>
      <c r="G35" s="12" t="e">
        <f>IF(OR(Tabela1[[#This Row],[Análise]]="Em estoque",Tabela1[[#This Row],[Análise]]=$V$4),"Atende 7 dias","Atende 30 dias")</f>
        <v>#N/A</v>
      </c>
      <c r="L35" s="30"/>
      <c r="M35" s="31"/>
      <c r="N35" s="31"/>
      <c r="O35" s="31"/>
      <c r="P35" s="31"/>
      <c r="Q35" s="31"/>
      <c r="R35" s="31"/>
      <c r="S35" s="31"/>
      <c r="T35" s="32"/>
    </row>
    <row r="36" spans="1:20" x14ac:dyDescent="0.25">
      <c r="A36">
        <f>'Pedidos de Venda'!A42</f>
        <v>0</v>
      </c>
      <c r="B36">
        <f>'Pedidos de Venda'!C42</f>
        <v>0</v>
      </c>
      <c r="C36">
        <f>'Pedidos de Venda'!B42</f>
        <v>0</v>
      </c>
      <c r="D36" s="65" t="e">
        <f>IF(F36&lt;=0, VLOOKUP(C36, [1]Localização!A:R, 18, FALSE), "Em estoque")</f>
        <v>#N/A</v>
      </c>
      <c r="E36" t="e">
        <f>VLOOKUP(Tabela1[[#This Row],[Código (SKU)]],Necessidade!B:P,15,FALSE)</f>
        <v>#N/A</v>
      </c>
      <c r="F36" t="e">
        <f>Tabela1[[#This Row],[Estoque Virtual]]-Tabela1[[#This Row],[Qtd]]</f>
        <v>#N/A</v>
      </c>
      <c r="G36" s="12" t="e">
        <f>IF(OR(Tabela1[[#This Row],[Análise]]="Em estoque",Tabela1[[#This Row],[Análise]]=$V$4),"Atende 7 dias","Atende 30 dias")</f>
        <v>#N/A</v>
      </c>
      <c r="L36" s="18"/>
      <c r="M36" s="33"/>
      <c r="N36" s="33"/>
      <c r="O36" s="33"/>
      <c r="P36" s="33"/>
      <c r="Q36" s="33"/>
      <c r="R36" s="33"/>
      <c r="S36" s="33"/>
      <c r="T36" s="19"/>
    </row>
    <row r="37" spans="1:20" x14ac:dyDescent="0.25">
      <c r="A37">
        <f>'Pedidos de Venda'!A43</f>
        <v>0</v>
      </c>
      <c r="B37">
        <f>'Pedidos de Venda'!C43</f>
        <v>0</v>
      </c>
      <c r="C37">
        <f>'Pedidos de Venda'!B43</f>
        <v>0</v>
      </c>
      <c r="D37" s="65" t="e">
        <f>IF(F37&lt;=0, VLOOKUP(C37, [1]Localização!A:R, 18, FALSE), "Em estoque")</f>
        <v>#N/A</v>
      </c>
      <c r="E37" t="e">
        <f>VLOOKUP(Tabela1[[#This Row],[Código (SKU)]],Necessidade!B:P,15,FALSE)</f>
        <v>#N/A</v>
      </c>
      <c r="F37" t="e">
        <f>Tabela1[[#This Row],[Estoque Virtual]]-Tabela1[[#This Row],[Qtd]]</f>
        <v>#N/A</v>
      </c>
      <c r="G37" s="12" t="e">
        <f>IF(OR(Tabela1[[#This Row],[Análise]]="Em estoque",Tabela1[[#This Row],[Análise]]=$V$4),"Atende 7 dias","Atende 30 dias")</f>
        <v>#N/A</v>
      </c>
    </row>
    <row r="38" spans="1:20" x14ac:dyDescent="0.25">
      <c r="A38">
        <f>'Pedidos de Venda'!A44</f>
        <v>0</v>
      </c>
      <c r="B38">
        <f>'Pedidos de Venda'!C44</f>
        <v>0</v>
      </c>
      <c r="C38">
        <f>'Pedidos de Venda'!B44</f>
        <v>0</v>
      </c>
      <c r="D38" s="65" t="e">
        <f>IF(F38&lt;=0, VLOOKUP(C38, [1]Localização!A:R, 18, FALSE), "Em estoque")</f>
        <v>#N/A</v>
      </c>
      <c r="E38" t="e">
        <f>VLOOKUP(Tabela1[[#This Row],[Código (SKU)]],Necessidade!B:P,15,FALSE)</f>
        <v>#N/A</v>
      </c>
      <c r="F38" t="e">
        <f>Tabela1[[#This Row],[Estoque Virtual]]-Tabela1[[#This Row],[Qtd]]</f>
        <v>#N/A</v>
      </c>
      <c r="G38" s="12" t="e">
        <f>IF(OR(Tabela1[[#This Row],[Análise]]="Em estoque",Tabela1[[#This Row],[Análise]]=$V$4),"Atende 7 dias","Atende 30 dias")</f>
        <v>#N/A</v>
      </c>
    </row>
    <row r="39" spans="1:20" x14ac:dyDescent="0.25">
      <c r="A39">
        <f>'Pedidos de Venda'!A45</f>
        <v>0</v>
      </c>
      <c r="B39">
        <f>'Pedidos de Venda'!C45</f>
        <v>0</v>
      </c>
      <c r="C39">
        <f>'Pedidos de Venda'!B45</f>
        <v>0</v>
      </c>
      <c r="D39" s="65" t="e">
        <f>IF(F39&lt;=0, VLOOKUP(C39, [1]Localização!A:R, 18, FALSE), "Em estoque")</f>
        <v>#N/A</v>
      </c>
      <c r="E39" t="e">
        <f>VLOOKUP(Tabela1[[#This Row],[Código (SKU)]],Necessidade!B:P,15,FALSE)</f>
        <v>#N/A</v>
      </c>
      <c r="F39" t="e">
        <f>Tabela1[[#This Row],[Estoque Virtual]]-Tabela1[[#This Row],[Qtd]]</f>
        <v>#N/A</v>
      </c>
      <c r="G39" s="12" t="e">
        <f>IF(OR(Tabela1[[#This Row],[Análise]]="Em estoque",Tabela1[[#This Row],[Análise]]=$V$4),"Atende 7 dias","Atende 30 dias")</f>
        <v>#N/A</v>
      </c>
    </row>
    <row r="40" spans="1:20" x14ac:dyDescent="0.25">
      <c r="A40">
        <f>'Pedidos de Venda'!A46</f>
        <v>0</v>
      </c>
      <c r="B40">
        <f>'Pedidos de Venda'!C46</f>
        <v>0</v>
      </c>
      <c r="C40">
        <f>'Pedidos de Venda'!B46</f>
        <v>0</v>
      </c>
      <c r="D40" s="65" t="e">
        <f>IF(F40&lt;=0, VLOOKUP(C40, [1]Localização!A:R, 18, FALSE), "Em estoque")</f>
        <v>#N/A</v>
      </c>
      <c r="E40" t="e">
        <f>VLOOKUP(Tabela1[[#This Row],[Código (SKU)]],Necessidade!B:P,15,FALSE)</f>
        <v>#N/A</v>
      </c>
      <c r="F40" t="e">
        <f>Tabela1[[#This Row],[Estoque Virtual]]-Tabela1[[#This Row],[Qtd]]</f>
        <v>#N/A</v>
      </c>
      <c r="G40" s="12" t="e">
        <f>IF(OR(Tabela1[[#This Row],[Análise]]="Em estoque",Tabela1[[#This Row],[Análise]]=$V$4),"Atende 7 dias","Atende 30 dias")</f>
        <v>#N/A</v>
      </c>
    </row>
    <row r="41" spans="1:20" x14ac:dyDescent="0.25">
      <c r="A41">
        <f>'Pedidos de Venda'!A47</f>
        <v>0</v>
      </c>
      <c r="B41">
        <f>'Pedidos de Venda'!C47</f>
        <v>0</v>
      </c>
      <c r="C41">
        <f>'Pedidos de Venda'!B47</f>
        <v>0</v>
      </c>
      <c r="D41" s="65" t="e">
        <f>IF(F41&lt;=0, VLOOKUP(C41, [1]Localização!A:R, 18, FALSE), "Em estoque")</f>
        <v>#N/A</v>
      </c>
      <c r="E41" t="e">
        <f>VLOOKUP(Tabela1[[#This Row],[Código (SKU)]],Necessidade!B:P,15,FALSE)</f>
        <v>#N/A</v>
      </c>
      <c r="F41" t="e">
        <f>Tabela1[[#This Row],[Estoque Virtual]]-Tabela1[[#This Row],[Qtd]]</f>
        <v>#N/A</v>
      </c>
      <c r="G41" s="12" t="e">
        <f>IF(OR(Tabela1[[#This Row],[Análise]]="Em estoque",Tabela1[[#This Row],[Análise]]=$V$4),"Atende 7 dias","Atende 30 dias")</f>
        <v>#N/A</v>
      </c>
    </row>
    <row r="42" spans="1:20" x14ac:dyDescent="0.25">
      <c r="A42">
        <f>'Pedidos de Venda'!A48</f>
        <v>0</v>
      </c>
      <c r="B42">
        <f>'Pedidos de Venda'!C48</f>
        <v>0</v>
      </c>
      <c r="C42">
        <f>'Pedidos de Venda'!B48</f>
        <v>0</v>
      </c>
      <c r="D42" s="65" t="e">
        <f>IF(F42&lt;=0, VLOOKUP(C42, [1]Localização!A:R, 18, FALSE), "Em estoque")</f>
        <v>#N/A</v>
      </c>
      <c r="E42" t="e">
        <f>VLOOKUP(Tabela1[[#This Row],[Código (SKU)]],Necessidade!B:P,15,FALSE)</f>
        <v>#N/A</v>
      </c>
      <c r="F42" t="e">
        <f>Tabela1[[#This Row],[Estoque Virtual]]-Tabela1[[#This Row],[Qtd]]</f>
        <v>#N/A</v>
      </c>
      <c r="G42" s="12" t="e">
        <f>IF(OR(Tabela1[[#This Row],[Análise]]="Em estoque",Tabela1[[#This Row],[Análise]]=$V$4),"Atende 7 dias","Atende 30 dias")</f>
        <v>#N/A</v>
      </c>
    </row>
    <row r="43" spans="1:20" x14ac:dyDescent="0.25">
      <c r="A43">
        <f>'Pedidos de Venda'!A49</f>
        <v>0</v>
      </c>
      <c r="B43">
        <f>'Pedidos de Venda'!C49</f>
        <v>0</v>
      </c>
      <c r="C43">
        <f>'Pedidos de Venda'!B49</f>
        <v>0</v>
      </c>
      <c r="D43" s="65" t="e">
        <f>IF(F43&lt;=0, VLOOKUP(C43, [1]Localização!A:R, 18, FALSE), "Em estoque")</f>
        <v>#N/A</v>
      </c>
      <c r="E43" t="e">
        <f>VLOOKUP(Tabela1[[#This Row],[Código (SKU)]],Necessidade!B:P,15,FALSE)</f>
        <v>#N/A</v>
      </c>
      <c r="F43" t="e">
        <f>Tabela1[[#This Row],[Estoque Virtual]]-Tabela1[[#This Row],[Qtd]]</f>
        <v>#N/A</v>
      </c>
      <c r="G43" s="12" t="e">
        <f>IF(OR(Tabela1[[#This Row],[Análise]]="Em estoque",Tabela1[[#This Row],[Análise]]=$V$4),"Atende 7 dias","Atende 30 dias")</f>
        <v>#N/A</v>
      </c>
    </row>
    <row r="44" spans="1:20" x14ac:dyDescent="0.25">
      <c r="A44">
        <f>'Pedidos de Venda'!A50</f>
        <v>0</v>
      </c>
      <c r="B44">
        <f>'Pedidos de Venda'!C50</f>
        <v>0</v>
      </c>
      <c r="C44">
        <f>'Pedidos de Venda'!B50</f>
        <v>0</v>
      </c>
      <c r="D44" s="65" t="e">
        <f>IF(F44&lt;=0, VLOOKUP(C44, [1]Localização!A:R, 18, FALSE), "Em estoque")</f>
        <v>#N/A</v>
      </c>
      <c r="E44" t="e">
        <f>VLOOKUP(Tabela1[[#This Row],[Código (SKU)]],Necessidade!B:P,15,FALSE)</f>
        <v>#N/A</v>
      </c>
      <c r="F44" t="e">
        <f>Tabela1[[#This Row],[Estoque Virtual]]-Tabela1[[#This Row],[Qtd]]</f>
        <v>#N/A</v>
      </c>
      <c r="G44" s="12" t="e">
        <f>IF(OR(Tabela1[[#This Row],[Análise]]="Em estoque",Tabela1[[#This Row],[Análise]]=$V$4),"Atende 7 dias","Atende 30 dias")</f>
        <v>#N/A</v>
      </c>
    </row>
    <row r="45" spans="1:20" x14ac:dyDescent="0.25">
      <c r="A45">
        <f>'Pedidos de Venda'!A51</f>
        <v>0</v>
      </c>
      <c r="B45">
        <f>'Pedidos de Venda'!C51</f>
        <v>0</v>
      </c>
      <c r="C45">
        <f>'Pedidos de Venda'!B51</f>
        <v>0</v>
      </c>
      <c r="D45" s="65" t="e">
        <f>IF(F45&lt;=0, VLOOKUP(C45, [1]Localização!A:R, 18, FALSE), "Em estoque")</f>
        <v>#N/A</v>
      </c>
      <c r="E45" t="e">
        <f>VLOOKUP(Tabela1[[#This Row],[Código (SKU)]],Necessidade!B:P,15,FALSE)</f>
        <v>#N/A</v>
      </c>
      <c r="F45" t="e">
        <f>Tabela1[[#This Row],[Estoque Virtual]]-Tabela1[[#This Row],[Qtd]]</f>
        <v>#N/A</v>
      </c>
      <c r="G45" s="12" t="e">
        <f>IF(OR(Tabela1[[#This Row],[Análise]]="Em estoque",Tabela1[[#This Row],[Análise]]=$V$4),"Atende 7 dias","Atende 30 dias")</f>
        <v>#N/A</v>
      </c>
    </row>
    <row r="46" spans="1:20" x14ac:dyDescent="0.25">
      <c r="A46">
        <f>'Pedidos de Venda'!A52</f>
        <v>0</v>
      </c>
      <c r="B46">
        <f>'Pedidos de Venda'!C52</f>
        <v>0</v>
      </c>
      <c r="C46">
        <f>'Pedidos de Venda'!B52</f>
        <v>0</v>
      </c>
      <c r="D46" s="65" t="e">
        <f>IF(F46&lt;=0, VLOOKUP(C46, [1]Localização!A:R, 18, FALSE), "Em estoque")</f>
        <v>#N/A</v>
      </c>
      <c r="E46" t="e">
        <f>VLOOKUP(Tabela1[[#This Row],[Código (SKU)]],Necessidade!B:P,15,FALSE)</f>
        <v>#N/A</v>
      </c>
      <c r="F46" t="e">
        <f>Tabela1[[#This Row],[Estoque Virtual]]-Tabela1[[#This Row],[Qtd]]</f>
        <v>#N/A</v>
      </c>
      <c r="G46" s="12" t="e">
        <f>IF(OR(Tabela1[[#This Row],[Análise]]="Em estoque",Tabela1[[#This Row],[Análise]]=$V$4),"Atende 7 dias","Atende 30 dias")</f>
        <v>#N/A</v>
      </c>
    </row>
    <row r="47" spans="1:20" x14ac:dyDescent="0.25">
      <c r="A47">
        <f>'Pedidos de Venda'!A53</f>
        <v>0</v>
      </c>
      <c r="B47">
        <f>'Pedidos de Venda'!C53</f>
        <v>0</v>
      </c>
      <c r="C47">
        <f>'Pedidos de Venda'!B53</f>
        <v>0</v>
      </c>
      <c r="D47" s="65" t="e">
        <f>IF(F47&lt;=0, VLOOKUP(C47, [1]Localização!A:R, 18, FALSE), "Em estoque")</f>
        <v>#N/A</v>
      </c>
      <c r="E47" t="e">
        <f>VLOOKUP(Tabela1[[#This Row],[Código (SKU)]],Necessidade!B:P,15,FALSE)</f>
        <v>#N/A</v>
      </c>
      <c r="F47" t="e">
        <f>Tabela1[[#This Row],[Estoque Virtual]]-Tabela1[[#This Row],[Qtd]]</f>
        <v>#N/A</v>
      </c>
      <c r="G47" s="12" t="e">
        <f>IF(OR(Tabela1[[#This Row],[Análise]]="Em estoque",Tabela1[[#This Row],[Análise]]=$V$4),"Atende 7 dias","Atende 30 dias")</f>
        <v>#N/A</v>
      </c>
    </row>
    <row r="48" spans="1:20" x14ac:dyDescent="0.25">
      <c r="A48">
        <f>'Pedidos de Venda'!A54</f>
        <v>0</v>
      </c>
      <c r="B48">
        <f>'Pedidos de Venda'!C54</f>
        <v>0</v>
      </c>
      <c r="C48">
        <f>'Pedidos de Venda'!B54</f>
        <v>0</v>
      </c>
      <c r="D48" s="65" t="e">
        <f>IF(F48&lt;=0, VLOOKUP(C48, [1]Localização!A:R, 18, FALSE), "Em estoque")</f>
        <v>#N/A</v>
      </c>
      <c r="E48" t="e">
        <f>VLOOKUP(Tabela1[[#This Row],[Código (SKU)]],Necessidade!B:P,15,FALSE)</f>
        <v>#N/A</v>
      </c>
      <c r="F48" t="e">
        <f>Tabela1[[#This Row],[Estoque Virtual]]-Tabela1[[#This Row],[Qtd]]</f>
        <v>#N/A</v>
      </c>
      <c r="G48" s="12" t="e">
        <f>IF(OR(Tabela1[[#This Row],[Análise]]="Em estoque",Tabela1[[#This Row],[Análise]]=$V$4),"Atende 7 dias","Atende 30 dias")</f>
        <v>#N/A</v>
      </c>
    </row>
    <row r="49" spans="1:7" x14ac:dyDescent="0.25">
      <c r="A49">
        <f>'Pedidos de Venda'!A55</f>
        <v>0</v>
      </c>
      <c r="B49">
        <f>'Pedidos de Venda'!C55</f>
        <v>0</v>
      </c>
      <c r="C49">
        <f>'Pedidos de Venda'!B55</f>
        <v>0</v>
      </c>
      <c r="D49" s="65" t="e">
        <f>IF(F49&lt;=0, VLOOKUP(C49, [1]Localização!A:R, 18, FALSE), "Em estoque")</f>
        <v>#N/A</v>
      </c>
      <c r="E49" t="e">
        <f>VLOOKUP(Tabela1[[#This Row],[Código (SKU)]],Necessidade!B:P,15,FALSE)</f>
        <v>#N/A</v>
      </c>
      <c r="F49" t="e">
        <f>Tabela1[[#This Row],[Estoque Virtual]]-Tabela1[[#This Row],[Qtd]]</f>
        <v>#N/A</v>
      </c>
      <c r="G49" s="12" t="e">
        <f>IF(OR(Tabela1[[#This Row],[Análise]]="Em estoque",Tabela1[[#This Row],[Análise]]=$V$4),"Atende 7 dias","Atende 30 dias")</f>
        <v>#N/A</v>
      </c>
    </row>
    <row r="50" spans="1:7" x14ac:dyDescent="0.25">
      <c r="A50">
        <f>'Pedidos de Venda'!A56</f>
        <v>0</v>
      </c>
      <c r="B50">
        <f>'Pedidos de Venda'!C56</f>
        <v>0</v>
      </c>
      <c r="C50">
        <f>'Pedidos de Venda'!B56</f>
        <v>0</v>
      </c>
      <c r="D50" s="65" t="e">
        <f>IF(F50&lt;=0, VLOOKUP(C50, [1]Localização!A:R, 18, FALSE), "Em estoque")</f>
        <v>#N/A</v>
      </c>
      <c r="E50" t="e">
        <f>VLOOKUP(Tabela1[[#This Row],[Código (SKU)]],Necessidade!B:P,15,FALSE)</f>
        <v>#N/A</v>
      </c>
      <c r="F50" t="e">
        <f>Tabela1[[#This Row],[Estoque Virtual]]-Tabela1[[#This Row],[Qtd]]</f>
        <v>#N/A</v>
      </c>
      <c r="G50" s="12" t="e">
        <f>IF(OR(Tabela1[[#This Row],[Análise]]="Em estoque",Tabela1[[#This Row],[Análise]]=$V$4),"Atende 7 dias","Atende 30 dias")</f>
        <v>#N/A</v>
      </c>
    </row>
    <row r="51" spans="1:7" x14ac:dyDescent="0.25">
      <c r="A51">
        <f>'Pedidos de Venda'!A57</f>
        <v>0</v>
      </c>
      <c r="B51">
        <f>'Pedidos de Venda'!C57</f>
        <v>0</v>
      </c>
      <c r="C51">
        <f>'Pedidos de Venda'!B57</f>
        <v>0</v>
      </c>
      <c r="D51" s="65" t="e">
        <f>IF(F51&lt;=0, VLOOKUP(C51, [1]Localização!A:R, 18, FALSE), "Em estoque")</f>
        <v>#N/A</v>
      </c>
      <c r="E51" t="e">
        <f>VLOOKUP(Tabela1[[#This Row],[Código (SKU)]],Necessidade!B:P,15,FALSE)</f>
        <v>#N/A</v>
      </c>
      <c r="F51" t="e">
        <f>Tabela1[[#This Row],[Estoque Virtual]]-Tabela1[[#This Row],[Qtd]]</f>
        <v>#N/A</v>
      </c>
      <c r="G51" s="12" t="e">
        <f>IF(OR(Tabela1[[#This Row],[Análise]]="Em estoque",Tabela1[[#This Row],[Análise]]=$V$4),"Atende 7 dias","Atende 30 dias")</f>
        <v>#N/A</v>
      </c>
    </row>
    <row r="52" spans="1:7" x14ac:dyDescent="0.25">
      <c r="A52">
        <f>'Pedidos de Venda'!A58</f>
        <v>0</v>
      </c>
      <c r="B52">
        <f>'Pedidos de Venda'!C58</f>
        <v>0</v>
      </c>
      <c r="C52">
        <f>'Pedidos de Venda'!B58</f>
        <v>0</v>
      </c>
      <c r="D52" s="65" t="e">
        <f>IF(F52&lt;=0, VLOOKUP(C52, [1]Localização!A:R, 18, FALSE), "Em estoque")</f>
        <v>#N/A</v>
      </c>
      <c r="E52" t="e">
        <f>VLOOKUP(Tabela1[[#This Row],[Código (SKU)]],Necessidade!B:P,15,FALSE)</f>
        <v>#N/A</v>
      </c>
      <c r="F52" t="e">
        <f>Tabela1[[#This Row],[Estoque Virtual]]-Tabela1[[#This Row],[Qtd]]</f>
        <v>#N/A</v>
      </c>
      <c r="G52" s="12" t="e">
        <f>IF(OR(Tabela1[[#This Row],[Análise]]="Em estoque",Tabela1[[#This Row],[Análise]]=$V$4),"Atende 7 dias","Atende 30 dias")</f>
        <v>#N/A</v>
      </c>
    </row>
    <row r="53" spans="1:7" x14ac:dyDescent="0.25">
      <c r="A53">
        <f>'Pedidos de Venda'!A59</f>
        <v>0</v>
      </c>
      <c r="B53">
        <f>'Pedidos de Venda'!C59</f>
        <v>0</v>
      </c>
      <c r="C53">
        <f>'Pedidos de Venda'!B59</f>
        <v>0</v>
      </c>
      <c r="D53" s="65" t="e">
        <f>IF(F53&lt;=0, VLOOKUP(C53, [1]Localização!A:R, 18, FALSE), "Em estoque")</f>
        <v>#N/A</v>
      </c>
      <c r="E53" t="e">
        <f>VLOOKUP(Tabela1[[#This Row],[Código (SKU)]],Necessidade!B:P,15,FALSE)</f>
        <v>#N/A</v>
      </c>
      <c r="F53" t="e">
        <f>Tabela1[[#This Row],[Estoque Virtual]]-Tabela1[[#This Row],[Qtd]]</f>
        <v>#N/A</v>
      </c>
      <c r="G53" s="12" t="e">
        <f>IF(OR(Tabela1[[#This Row],[Análise]]="Em estoque",Tabela1[[#This Row],[Análise]]=$V$4),"Atende 7 dias","Atende 30 dias")</f>
        <v>#N/A</v>
      </c>
    </row>
    <row r="54" spans="1:7" x14ac:dyDescent="0.25">
      <c r="A54">
        <f>'Pedidos de Venda'!A60</f>
        <v>0</v>
      </c>
      <c r="B54">
        <f>'Pedidos de Venda'!C60</f>
        <v>0</v>
      </c>
      <c r="C54">
        <f>'Pedidos de Venda'!B60</f>
        <v>0</v>
      </c>
      <c r="D54" s="65" t="e">
        <f>IF(F54&lt;=0, VLOOKUP(C54, [1]Localização!A:R, 18, FALSE), "Em estoque")</f>
        <v>#N/A</v>
      </c>
      <c r="E54" t="e">
        <f>VLOOKUP(Tabela1[[#This Row],[Código (SKU)]],Necessidade!B:P,15,FALSE)</f>
        <v>#N/A</v>
      </c>
      <c r="F54" t="e">
        <f>Tabela1[[#This Row],[Estoque Virtual]]-Tabela1[[#This Row],[Qtd]]</f>
        <v>#N/A</v>
      </c>
      <c r="G54" s="12" t="e">
        <f>IF(OR(Tabela1[[#This Row],[Análise]]="Em estoque",Tabela1[[#This Row],[Análise]]=$V$4),"Atende 7 dias","Atende 30 dias")</f>
        <v>#N/A</v>
      </c>
    </row>
    <row r="55" spans="1:7" x14ac:dyDescent="0.25">
      <c r="A55">
        <f>'Pedidos de Venda'!A61</f>
        <v>0</v>
      </c>
      <c r="B55">
        <f>'Pedidos de Venda'!C61</f>
        <v>0</v>
      </c>
      <c r="C55">
        <f>'Pedidos de Venda'!B61</f>
        <v>0</v>
      </c>
      <c r="D55" s="65" t="e">
        <f>IF(F55&lt;=0, VLOOKUP(C55, [1]Localização!A:R, 18, FALSE), "Em estoque")</f>
        <v>#N/A</v>
      </c>
      <c r="E55" t="e">
        <f>VLOOKUP(Tabela1[[#This Row],[Código (SKU)]],Necessidade!B:P,15,FALSE)</f>
        <v>#N/A</v>
      </c>
      <c r="F55" t="e">
        <f>Tabela1[[#This Row],[Estoque Virtual]]-Tabela1[[#This Row],[Qtd]]</f>
        <v>#N/A</v>
      </c>
      <c r="G55" s="12" t="e">
        <f>IF(OR(Tabela1[[#This Row],[Análise]]="Em estoque",Tabela1[[#This Row],[Análise]]=$V$4),"Atende 7 dias","Atende 30 dias")</f>
        <v>#N/A</v>
      </c>
    </row>
    <row r="56" spans="1:7" x14ac:dyDescent="0.25">
      <c r="A56">
        <f>'Pedidos de Venda'!A62</f>
        <v>0</v>
      </c>
      <c r="B56">
        <f>'Pedidos de Venda'!C62</f>
        <v>0</v>
      </c>
      <c r="C56">
        <f>'Pedidos de Venda'!B62</f>
        <v>0</v>
      </c>
      <c r="D56" s="65" t="e">
        <f>IF(F56&lt;=0, VLOOKUP(C56, [1]Localização!A:R, 18, FALSE), "Em estoque")</f>
        <v>#N/A</v>
      </c>
      <c r="E56" t="e">
        <f>VLOOKUP(Tabela1[[#This Row],[Código (SKU)]],Necessidade!B:P,15,FALSE)</f>
        <v>#N/A</v>
      </c>
      <c r="F56" t="e">
        <f>Tabela1[[#This Row],[Estoque Virtual]]-Tabela1[[#This Row],[Qtd]]</f>
        <v>#N/A</v>
      </c>
      <c r="G56" s="12" t="e">
        <f>IF(OR(Tabela1[[#This Row],[Análise]]="Em estoque",Tabela1[[#This Row],[Análise]]=$V$4),"Atende 7 dias","Atende 30 dias")</f>
        <v>#N/A</v>
      </c>
    </row>
    <row r="57" spans="1:7" x14ac:dyDescent="0.25">
      <c r="A57">
        <f>'Pedidos de Venda'!A63</f>
        <v>0</v>
      </c>
      <c r="B57">
        <f>'Pedidos de Venda'!C63</f>
        <v>0</v>
      </c>
      <c r="C57">
        <f>'Pedidos de Venda'!B63</f>
        <v>0</v>
      </c>
      <c r="D57" s="65" t="e">
        <f>IF(F57&lt;=0, VLOOKUP(C57, [1]Localização!A:R, 18, FALSE), "Em estoque")</f>
        <v>#N/A</v>
      </c>
      <c r="E57" t="e">
        <f>VLOOKUP(Tabela1[[#This Row],[Código (SKU)]],Necessidade!B:P,15,FALSE)</f>
        <v>#N/A</v>
      </c>
      <c r="F57" t="e">
        <f>Tabela1[[#This Row],[Estoque Virtual]]-Tabela1[[#This Row],[Qtd]]</f>
        <v>#N/A</v>
      </c>
      <c r="G57" s="12" t="e">
        <f>IF(OR(Tabela1[[#This Row],[Análise]]="Em estoque",Tabela1[[#This Row],[Análise]]=$V$4),"Atende 7 dias","Atende 30 dias")</f>
        <v>#N/A</v>
      </c>
    </row>
    <row r="58" spans="1:7" x14ac:dyDescent="0.25">
      <c r="A58">
        <f>'Pedidos de Venda'!A64</f>
        <v>0</v>
      </c>
      <c r="B58">
        <f>'Pedidos de Venda'!C64</f>
        <v>0</v>
      </c>
      <c r="C58">
        <f>'Pedidos de Venda'!B64</f>
        <v>0</v>
      </c>
      <c r="D58" s="65" t="e">
        <f>IF(F58&lt;=0, VLOOKUP(C58, [1]Localização!A:R, 18, FALSE), "Em estoque")</f>
        <v>#N/A</v>
      </c>
      <c r="E58" t="e">
        <f>VLOOKUP(Tabela1[[#This Row],[Código (SKU)]],Necessidade!B:P,15,FALSE)</f>
        <v>#N/A</v>
      </c>
      <c r="F58" t="e">
        <f>Tabela1[[#This Row],[Estoque Virtual]]-Tabela1[[#This Row],[Qtd]]</f>
        <v>#N/A</v>
      </c>
      <c r="G58" s="12" t="e">
        <f>IF(OR(Tabela1[[#This Row],[Análise]]="Em estoque",Tabela1[[#This Row],[Análise]]=$V$4),"Atende 7 dias","Atende 30 dias")</f>
        <v>#N/A</v>
      </c>
    </row>
    <row r="59" spans="1:7" x14ac:dyDescent="0.25">
      <c r="A59">
        <f>'Pedidos de Venda'!A65</f>
        <v>0</v>
      </c>
      <c r="B59">
        <f>'Pedidos de Venda'!C65</f>
        <v>0</v>
      </c>
      <c r="C59">
        <f>'Pedidos de Venda'!B65</f>
        <v>0</v>
      </c>
      <c r="D59" s="65" t="e">
        <f>IF(F59&lt;=0, VLOOKUP(C59, [1]Localização!A:R, 18, FALSE), "Em estoque")</f>
        <v>#N/A</v>
      </c>
      <c r="E59" t="e">
        <f>VLOOKUP(Tabela1[[#This Row],[Código (SKU)]],Necessidade!B:P,15,FALSE)</f>
        <v>#N/A</v>
      </c>
      <c r="F59" t="e">
        <f>Tabela1[[#This Row],[Estoque Virtual]]-Tabela1[[#This Row],[Qtd]]</f>
        <v>#N/A</v>
      </c>
      <c r="G59" s="12" t="e">
        <f>IF(OR(Tabela1[[#This Row],[Análise]]="Em estoque",Tabela1[[#This Row],[Análise]]=$V$4),"Atende 7 dias","Atende 30 dias")</f>
        <v>#N/A</v>
      </c>
    </row>
    <row r="60" spans="1:7" x14ac:dyDescent="0.25">
      <c r="A60">
        <f>'Pedidos de Venda'!A66</f>
        <v>0</v>
      </c>
      <c r="B60">
        <f>'Pedidos de Venda'!C66</f>
        <v>0</v>
      </c>
      <c r="C60">
        <f>'Pedidos de Venda'!B66</f>
        <v>0</v>
      </c>
      <c r="D60" s="65" t="e">
        <f>IF(F60&lt;=0, VLOOKUP(C60, [1]Localização!A:R, 18, FALSE), "Em estoque")</f>
        <v>#N/A</v>
      </c>
      <c r="E60" t="e">
        <f>VLOOKUP(Tabela1[[#This Row],[Código (SKU)]],Necessidade!B:P,15,FALSE)</f>
        <v>#N/A</v>
      </c>
      <c r="F60" t="e">
        <f>Tabela1[[#This Row],[Estoque Virtual]]-Tabela1[[#This Row],[Qtd]]</f>
        <v>#N/A</v>
      </c>
      <c r="G60" s="12" t="e">
        <f>IF(OR(Tabela1[[#This Row],[Análise]]="Em estoque",Tabela1[[#This Row],[Análise]]=$V$4),"Atende 7 dias","Atende 30 dias")</f>
        <v>#N/A</v>
      </c>
    </row>
    <row r="61" spans="1:7" x14ac:dyDescent="0.25">
      <c r="A61">
        <f>'Pedidos de Venda'!A67</f>
        <v>0</v>
      </c>
      <c r="B61">
        <f>'Pedidos de Venda'!C67</f>
        <v>0</v>
      </c>
      <c r="C61">
        <f>'Pedidos de Venda'!B67</f>
        <v>0</v>
      </c>
      <c r="D61" s="65" t="e">
        <f>IF(F61&lt;=0, VLOOKUP(C61, [1]Localização!A:R, 18, FALSE), "Em estoque")</f>
        <v>#N/A</v>
      </c>
      <c r="E61" t="e">
        <f>VLOOKUP(Tabela1[[#This Row],[Código (SKU)]],Necessidade!B:P,15,FALSE)</f>
        <v>#N/A</v>
      </c>
      <c r="F61" t="e">
        <f>Tabela1[[#This Row],[Estoque Virtual]]-Tabela1[[#This Row],[Qtd]]</f>
        <v>#N/A</v>
      </c>
      <c r="G61" s="12" t="e">
        <f>IF(OR(Tabela1[[#This Row],[Análise]]="Em estoque",Tabela1[[#This Row],[Análise]]=$V$4),"Atende 7 dias","Atende 30 dias")</f>
        <v>#N/A</v>
      </c>
    </row>
    <row r="62" spans="1:7" x14ac:dyDescent="0.25">
      <c r="A62">
        <f>'Pedidos de Venda'!A68</f>
        <v>0</v>
      </c>
      <c r="B62">
        <f>'Pedidos de Venda'!C68</f>
        <v>0</v>
      </c>
      <c r="C62">
        <f>'Pedidos de Venda'!B68</f>
        <v>0</v>
      </c>
      <c r="D62" s="65" t="e">
        <f>IF(F62&lt;=0, VLOOKUP(C62, [1]Localização!A:R, 18, FALSE), "Em estoque")</f>
        <v>#N/A</v>
      </c>
      <c r="E62" t="e">
        <f>VLOOKUP(Tabela1[[#This Row],[Código (SKU)]],Necessidade!B:P,15,FALSE)</f>
        <v>#N/A</v>
      </c>
      <c r="F62" t="e">
        <f>Tabela1[[#This Row],[Estoque Virtual]]-Tabela1[[#This Row],[Qtd]]</f>
        <v>#N/A</v>
      </c>
      <c r="G62" s="12" t="e">
        <f>IF(OR(Tabela1[[#This Row],[Análise]]="Em estoque",Tabela1[[#This Row],[Análise]]=$V$4),"Atende 7 dias","Atende 30 dias")</f>
        <v>#N/A</v>
      </c>
    </row>
    <row r="63" spans="1:7" x14ac:dyDescent="0.25">
      <c r="A63">
        <f>'Pedidos de Venda'!A69</f>
        <v>0</v>
      </c>
      <c r="B63">
        <f>'Pedidos de Venda'!C69</f>
        <v>0</v>
      </c>
      <c r="C63">
        <f>'Pedidos de Venda'!B69</f>
        <v>0</v>
      </c>
      <c r="D63" s="65" t="e">
        <f>IF(F63&lt;=0, VLOOKUP(C63, [1]Localização!A:R, 18, FALSE), "Em estoque")</f>
        <v>#N/A</v>
      </c>
      <c r="E63" t="e">
        <f>VLOOKUP(Tabela1[[#This Row],[Código (SKU)]],Necessidade!B:P,15,FALSE)</f>
        <v>#N/A</v>
      </c>
      <c r="F63" t="e">
        <f>Tabela1[[#This Row],[Estoque Virtual]]-Tabela1[[#This Row],[Qtd]]</f>
        <v>#N/A</v>
      </c>
      <c r="G63" s="12" t="e">
        <f>IF(OR(Tabela1[[#This Row],[Análise]]="Em estoque",Tabela1[[#This Row],[Análise]]=$V$4),"Atende 7 dias","Atende 30 dias")</f>
        <v>#N/A</v>
      </c>
    </row>
    <row r="64" spans="1:7" x14ac:dyDescent="0.25">
      <c r="A64">
        <f>'Pedidos de Venda'!A70</f>
        <v>0</v>
      </c>
      <c r="B64">
        <f>'Pedidos de Venda'!C70</f>
        <v>0</v>
      </c>
      <c r="C64">
        <f>'Pedidos de Venda'!B70</f>
        <v>0</v>
      </c>
      <c r="D64" s="65" t="e">
        <f>IF(F64&lt;=0, VLOOKUP(C64, [1]Localização!A:R, 18, FALSE), "Em estoque")</f>
        <v>#N/A</v>
      </c>
      <c r="E64" t="e">
        <f>VLOOKUP(Tabela1[[#This Row],[Código (SKU)]],Necessidade!B:P,15,FALSE)</f>
        <v>#N/A</v>
      </c>
      <c r="F64" t="e">
        <f>Tabela1[[#This Row],[Estoque Virtual]]-Tabela1[[#This Row],[Qtd]]</f>
        <v>#N/A</v>
      </c>
      <c r="G64" s="12" t="e">
        <f>IF(OR(Tabela1[[#This Row],[Análise]]="Em estoque",Tabela1[[#This Row],[Análise]]=$V$4),"Atende 7 dias","Atende 30 dias")</f>
        <v>#N/A</v>
      </c>
    </row>
    <row r="65" spans="1:7" x14ac:dyDescent="0.25">
      <c r="A65">
        <f>'Pedidos de Venda'!A71</f>
        <v>0</v>
      </c>
      <c r="B65">
        <f>'Pedidos de Venda'!C71</f>
        <v>0</v>
      </c>
      <c r="C65">
        <f>'Pedidos de Venda'!B71</f>
        <v>0</v>
      </c>
      <c r="D65" s="65" t="e">
        <f>IF(F65&lt;=0, VLOOKUP(C65, [1]Localização!A:R, 18, FALSE), "Em estoque")</f>
        <v>#N/A</v>
      </c>
      <c r="E65" t="e">
        <f>VLOOKUP(Tabela1[[#This Row],[Código (SKU)]],Necessidade!B:P,15,FALSE)</f>
        <v>#N/A</v>
      </c>
      <c r="F65" t="e">
        <f>Tabela1[[#This Row],[Estoque Virtual]]-Tabela1[[#This Row],[Qtd]]</f>
        <v>#N/A</v>
      </c>
      <c r="G65" s="12" t="e">
        <f>IF(OR(Tabela1[[#This Row],[Análise]]="Em estoque",Tabela1[[#This Row],[Análise]]=$V$4),"Atende 7 dias","Atende 30 dias")</f>
        <v>#N/A</v>
      </c>
    </row>
    <row r="66" spans="1:7" x14ac:dyDescent="0.25">
      <c r="A66">
        <f>'Pedidos de Venda'!A72</f>
        <v>0</v>
      </c>
      <c r="B66">
        <f>'Pedidos de Venda'!C72</f>
        <v>0</v>
      </c>
      <c r="C66">
        <f>'Pedidos de Venda'!B72</f>
        <v>0</v>
      </c>
      <c r="D66" s="65" t="e">
        <f>IF(F66&lt;=0, VLOOKUP(C66, [1]Localização!A:R, 18, FALSE), "Em estoque")</f>
        <v>#N/A</v>
      </c>
      <c r="E66" t="e">
        <f>VLOOKUP(Tabela1[[#This Row],[Código (SKU)]],Necessidade!B:P,15,FALSE)</f>
        <v>#N/A</v>
      </c>
      <c r="F66" t="e">
        <f>Tabela1[[#This Row],[Estoque Virtual]]-Tabela1[[#This Row],[Qtd]]</f>
        <v>#N/A</v>
      </c>
      <c r="G66" s="12" t="e">
        <f>IF(OR(Tabela1[[#This Row],[Análise]]="Em estoque",Tabela1[[#This Row],[Análise]]=$V$4),"Atende 7 dias","Atende 30 dias")</f>
        <v>#N/A</v>
      </c>
    </row>
    <row r="67" spans="1:7" x14ac:dyDescent="0.25">
      <c r="A67">
        <f>'Pedidos de Venda'!A73</f>
        <v>0</v>
      </c>
      <c r="B67">
        <f>'Pedidos de Venda'!C73</f>
        <v>0</v>
      </c>
      <c r="C67">
        <f>'Pedidos de Venda'!B73</f>
        <v>0</v>
      </c>
      <c r="D67" s="65" t="e">
        <f>IF(F67&lt;=0, VLOOKUP(C67, [1]Localização!A:R, 18, FALSE), "Em estoque")</f>
        <v>#N/A</v>
      </c>
      <c r="E67" t="e">
        <f>VLOOKUP(Tabela1[[#This Row],[Código (SKU)]],Necessidade!B:P,15,FALSE)</f>
        <v>#N/A</v>
      </c>
      <c r="F67" t="e">
        <f>Tabela1[[#This Row],[Estoque Virtual]]-Tabela1[[#This Row],[Qtd]]</f>
        <v>#N/A</v>
      </c>
      <c r="G67" s="12" t="e">
        <f>IF(OR(Tabela1[[#This Row],[Análise]]="Em estoque",Tabela1[[#This Row],[Análise]]=$V$4),"Atende 7 dias","Atende 30 dias")</f>
        <v>#N/A</v>
      </c>
    </row>
    <row r="68" spans="1:7" x14ac:dyDescent="0.25">
      <c r="A68">
        <f>'Pedidos de Venda'!A74</f>
        <v>0</v>
      </c>
      <c r="B68">
        <f>'Pedidos de Venda'!C74</f>
        <v>0</v>
      </c>
      <c r="C68">
        <f>'Pedidos de Venda'!B74</f>
        <v>0</v>
      </c>
      <c r="D68" s="65" t="e">
        <f>IF(F68&lt;=0, VLOOKUP(C68, [1]Localização!A:R, 18, FALSE), "Em estoque")</f>
        <v>#N/A</v>
      </c>
      <c r="E68" t="e">
        <f>VLOOKUP(Tabela1[[#This Row],[Código (SKU)]],Necessidade!B:P,15,FALSE)</f>
        <v>#N/A</v>
      </c>
      <c r="F68" t="e">
        <f>Tabela1[[#This Row],[Estoque Virtual]]-Tabela1[[#This Row],[Qtd]]</f>
        <v>#N/A</v>
      </c>
      <c r="G68" s="12" t="e">
        <f>IF(OR(Tabela1[[#This Row],[Análise]]="Em estoque",Tabela1[[#This Row],[Análise]]=$V$4),"Atende 7 dias","Atende 30 dias")</f>
        <v>#N/A</v>
      </c>
    </row>
    <row r="69" spans="1:7" x14ac:dyDescent="0.25">
      <c r="A69">
        <f>'Pedidos de Venda'!A75</f>
        <v>0</v>
      </c>
      <c r="B69">
        <f>'Pedidos de Venda'!C75</f>
        <v>0</v>
      </c>
      <c r="C69">
        <f>'Pedidos de Venda'!B75</f>
        <v>0</v>
      </c>
      <c r="D69" s="65" t="e">
        <f>IF(F69&lt;=0, VLOOKUP(C69, [1]Localização!A:R, 18, FALSE), "Em estoque")</f>
        <v>#N/A</v>
      </c>
      <c r="E69" t="e">
        <f>VLOOKUP(Tabela1[[#This Row],[Código (SKU)]],Necessidade!B:P,15,FALSE)</f>
        <v>#N/A</v>
      </c>
      <c r="F69" t="e">
        <f>Tabela1[[#This Row],[Estoque Virtual]]-Tabela1[[#This Row],[Qtd]]</f>
        <v>#N/A</v>
      </c>
      <c r="G69" s="12" t="e">
        <f>IF(OR(Tabela1[[#This Row],[Análise]]="Em estoque",Tabela1[[#This Row],[Análise]]=$V$4),"Atende 7 dias","Atende 30 dias")</f>
        <v>#N/A</v>
      </c>
    </row>
    <row r="70" spans="1:7" x14ac:dyDescent="0.25">
      <c r="A70">
        <f>'Pedidos de Venda'!A76</f>
        <v>0</v>
      </c>
      <c r="B70">
        <f>'Pedidos de Venda'!C76</f>
        <v>0</v>
      </c>
      <c r="C70">
        <f>'Pedidos de Venda'!B76</f>
        <v>0</v>
      </c>
      <c r="D70" s="65" t="e">
        <f>IF(F70&lt;=0, VLOOKUP(C70, [1]Localização!A:R, 18, FALSE), "Em estoque")</f>
        <v>#N/A</v>
      </c>
      <c r="E70" t="e">
        <f>VLOOKUP(Tabela1[[#This Row],[Código (SKU)]],Necessidade!B:P,15,FALSE)</f>
        <v>#N/A</v>
      </c>
      <c r="F70" t="e">
        <f>Tabela1[[#This Row],[Estoque Virtual]]-Tabela1[[#This Row],[Qtd]]</f>
        <v>#N/A</v>
      </c>
      <c r="G70" s="12" t="e">
        <f>IF(OR(Tabela1[[#This Row],[Análise]]="Em estoque",Tabela1[[#This Row],[Análise]]=$V$4),"Atende 7 dias","Atende 30 dias")</f>
        <v>#N/A</v>
      </c>
    </row>
    <row r="71" spans="1:7" x14ac:dyDescent="0.25">
      <c r="A71">
        <f>'Pedidos de Venda'!A77</f>
        <v>0</v>
      </c>
      <c r="B71">
        <f>'Pedidos de Venda'!C77</f>
        <v>0</v>
      </c>
      <c r="C71">
        <f>'Pedidos de Venda'!B77</f>
        <v>0</v>
      </c>
      <c r="D71" s="65" t="e">
        <f>IF(F71&lt;=0, VLOOKUP(C71, [1]Localização!A:R, 18, FALSE), "Em estoque")</f>
        <v>#N/A</v>
      </c>
      <c r="E71" t="e">
        <f>VLOOKUP(Tabela1[[#This Row],[Código (SKU)]],Necessidade!B:P,15,FALSE)</f>
        <v>#N/A</v>
      </c>
      <c r="F71" t="e">
        <f>Tabela1[[#This Row],[Estoque Virtual]]-Tabela1[[#This Row],[Qtd]]</f>
        <v>#N/A</v>
      </c>
      <c r="G71" s="12" t="e">
        <f>IF(OR(Tabela1[[#This Row],[Análise]]="Em estoque",Tabela1[[#This Row],[Análise]]=$V$4),"Atende 7 dias","Atende 30 dias")</f>
        <v>#N/A</v>
      </c>
    </row>
    <row r="72" spans="1:7" x14ac:dyDescent="0.25">
      <c r="A72">
        <f>'Pedidos de Venda'!A78</f>
        <v>0</v>
      </c>
      <c r="B72">
        <f>'Pedidos de Venda'!C78</f>
        <v>0</v>
      </c>
      <c r="C72">
        <f>'Pedidos de Venda'!B78</f>
        <v>0</v>
      </c>
      <c r="D72" s="65" t="e">
        <f>IF(F72&lt;=0, VLOOKUP(C72, [1]Localização!A:R, 18, FALSE), "Em estoque")</f>
        <v>#N/A</v>
      </c>
      <c r="E72" t="e">
        <f>VLOOKUP(Tabela1[[#This Row],[Código (SKU)]],Necessidade!B:P,15,FALSE)</f>
        <v>#N/A</v>
      </c>
      <c r="F72" t="e">
        <f>Tabela1[[#This Row],[Estoque Virtual]]-Tabela1[[#This Row],[Qtd]]</f>
        <v>#N/A</v>
      </c>
      <c r="G72" s="12" t="e">
        <f>IF(OR(Tabela1[[#This Row],[Análise]]="Em estoque",Tabela1[[#This Row],[Análise]]=$V$4),"Atende 7 dias","Atende 30 dias")</f>
        <v>#N/A</v>
      </c>
    </row>
    <row r="73" spans="1:7" x14ac:dyDescent="0.25">
      <c r="A73">
        <f>'Pedidos de Venda'!A79</f>
        <v>0</v>
      </c>
      <c r="B73">
        <f>'Pedidos de Venda'!C79</f>
        <v>0</v>
      </c>
      <c r="C73">
        <f>'Pedidos de Venda'!B79</f>
        <v>0</v>
      </c>
      <c r="D73" s="65" t="e">
        <f>IF(F73&lt;=0, VLOOKUP(C73, [1]Localização!A:R, 18, FALSE), "Em estoque")</f>
        <v>#N/A</v>
      </c>
      <c r="E73" t="e">
        <f>VLOOKUP(Tabela1[[#This Row],[Código (SKU)]],Necessidade!B:P,15,FALSE)</f>
        <v>#N/A</v>
      </c>
      <c r="F73" t="e">
        <f>Tabela1[[#This Row],[Estoque Virtual]]-Tabela1[[#This Row],[Qtd]]</f>
        <v>#N/A</v>
      </c>
      <c r="G73" s="12" t="e">
        <f>IF(OR(Tabela1[[#This Row],[Análise]]="Em estoque",Tabela1[[#This Row],[Análise]]=$V$4),"Atende 7 dias","Atende 30 dias")</f>
        <v>#N/A</v>
      </c>
    </row>
    <row r="74" spans="1:7" x14ac:dyDescent="0.25">
      <c r="A74">
        <f>'Pedidos de Venda'!A80</f>
        <v>0</v>
      </c>
      <c r="B74">
        <f>'Pedidos de Venda'!C80</f>
        <v>0</v>
      </c>
      <c r="C74">
        <f>'Pedidos de Venda'!B80</f>
        <v>0</v>
      </c>
      <c r="D74" s="65" t="e">
        <f>IF(F74&lt;=0, VLOOKUP(C74, [1]Localização!A:R, 18, FALSE), "Em estoque")</f>
        <v>#N/A</v>
      </c>
      <c r="E74" t="e">
        <f>VLOOKUP(Tabela1[[#This Row],[Código (SKU)]],Necessidade!B:P,15,FALSE)</f>
        <v>#N/A</v>
      </c>
      <c r="F74" t="e">
        <f>Tabela1[[#This Row],[Estoque Virtual]]-Tabela1[[#This Row],[Qtd]]</f>
        <v>#N/A</v>
      </c>
      <c r="G74" s="12" t="e">
        <f>IF(OR(Tabela1[[#This Row],[Análise]]="Em estoque",Tabela1[[#This Row],[Análise]]=$V$4),"Atende 7 dias","Atende 30 dias")</f>
        <v>#N/A</v>
      </c>
    </row>
    <row r="75" spans="1:7" x14ac:dyDescent="0.25">
      <c r="A75">
        <f>'Pedidos de Venda'!A81</f>
        <v>0</v>
      </c>
      <c r="B75">
        <f>'Pedidos de Venda'!C81</f>
        <v>0</v>
      </c>
      <c r="C75">
        <f>'Pedidos de Venda'!B81</f>
        <v>0</v>
      </c>
      <c r="D75" s="65" t="e">
        <f>IF(F75&lt;=0, VLOOKUP(C75, [1]Localização!A:R, 18, FALSE), "Em estoque")</f>
        <v>#N/A</v>
      </c>
      <c r="E75" t="e">
        <f>VLOOKUP(Tabela1[[#This Row],[Código (SKU)]],Necessidade!B:P,15,FALSE)</f>
        <v>#N/A</v>
      </c>
      <c r="F75" t="e">
        <f>Tabela1[[#This Row],[Estoque Virtual]]-Tabela1[[#This Row],[Qtd]]</f>
        <v>#N/A</v>
      </c>
      <c r="G75" s="12" t="e">
        <f>IF(OR(Tabela1[[#This Row],[Análise]]="Em estoque",Tabela1[[#This Row],[Análise]]=$V$4),"Atende 7 dias","Atende 30 dias")</f>
        <v>#N/A</v>
      </c>
    </row>
    <row r="76" spans="1:7" x14ac:dyDescent="0.25">
      <c r="A76">
        <f>'Pedidos de Venda'!A82</f>
        <v>0</v>
      </c>
      <c r="B76">
        <f>'Pedidos de Venda'!C82</f>
        <v>0</v>
      </c>
      <c r="C76">
        <f>'Pedidos de Venda'!B82</f>
        <v>0</v>
      </c>
      <c r="D76" s="65" t="e">
        <f>IF(F76&lt;=0, VLOOKUP(C76, [1]Localização!A:R, 18, FALSE), "Em estoque")</f>
        <v>#N/A</v>
      </c>
      <c r="E76" t="e">
        <f>VLOOKUP(Tabela1[[#This Row],[Código (SKU)]],Necessidade!B:P,15,FALSE)</f>
        <v>#N/A</v>
      </c>
      <c r="F76" t="e">
        <f>Tabela1[[#This Row],[Estoque Virtual]]-Tabela1[[#This Row],[Qtd]]</f>
        <v>#N/A</v>
      </c>
      <c r="G76" s="12" t="e">
        <f>IF(OR(Tabela1[[#This Row],[Análise]]="Em estoque",Tabela1[[#This Row],[Análise]]=$V$4),"Atende 7 dias","Atende 30 dias")</f>
        <v>#N/A</v>
      </c>
    </row>
    <row r="77" spans="1:7" x14ac:dyDescent="0.25">
      <c r="A77">
        <f>'Pedidos de Venda'!A83</f>
        <v>0</v>
      </c>
      <c r="B77">
        <f>'Pedidos de Venda'!C83</f>
        <v>0</v>
      </c>
      <c r="C77">
        <f>'Pedidos de Venda'!B83</f>
        <v>0</v>
      </c>
      <c r="D77" s="65" t="e">
        <f>IF(F77&lt;=0, VLOOKUP(C77, [1]Localização!A:R, 18, FALSE), "Em estoque")</f>
        <v>#N/A</v>
      </c>
      <c r="E77" t="e">
        <f>VLOOKUP(Tabela1[[#This Row],[Código (SKU)]],Necessidade!B:P,15,FALSE)</f>
        <v>#N/A</v>
      </c>
      <c r="F77" t="e">
        <f>Tabela1[[#This Row],[Estoque Virtual]]-Tabela1[[#This Row],[Qtd]]</f>
        <v>#N/A</v>
      </c>
      <c r="G77" s="12" t="e">
        <f>IF(OR(Tabela1[[#This Row],[Análise]]="Em estoque",Tabela1[[#This Row],[Análise]]=$V$4),"Atende 7 dias","Atende 30 dias")</f>
        <v>#N/A</v>
      </c>
    </row>
    <row r="78" spans="1:7" x14ac:dyDescent="0.25">
      <c r="A78">
        <f>'Pedidos de Venda'!A84</f>
        <v>0</v>
      </c>
      <c r="B78">
        <f>'Pedidos de Venda'!C84</f>
        <v>0</v>
      </c>
      <c r="C78">
        <f>'Pedidos de Venda'!B84</f>
        <v>0</v>
      </c>
      <c r="D78" s="65" t="e">
        <f>IF(F78&lt;=0, VLOOKUP(C78, [1]Localização!A:R, 18, FALSE), "Em estoque")</f>
        <v>#N/A</v>
      </c>
      <c r="E78" t="e">
        <f>VLOOKUP(Tabela1[[#This Row],[Código (SKU)]],Necessidade!B:P,15,FALSE)</f>
        <v>#N/A</v>
      </c>
      <c r="F78" t="e">
        <f>Tabela1[[#This Row],[Estoque Virtual]]-Tabela1[[#This Row],[Qtd]]</f>
        <v>#N/A</v>
      </c>
      <c r="G78" s="12" t="e">
        <f>IF(OR(Tabela1[[#This Row],[Análise]]="Em estoque",Tabela1[[#This Row],[Análise]]=$V$4),"Atende 7 dias","Atende 30 dias")</f>
        <v>#N/A</v>
      </c>
    </row>
    <row r="79" spans="1:7" x14ac:dyDescent="0.25">
      <c r="A79">
        <f>'Pedidos de Venda'!A85</f>
        <v>0</v>
      </c>
      <c r="B79">
        <f>'Pedidos de Venda'!C85</f>
        <v>0</v>
      </c>
      <c r="C79">
        <f>'Pedidos de Venda'!B85</f>
        <v>0</v>
      </c>
      <c r="D79" s="65" t="e">
        <f>IF(F79&lt;=0, VLOOKUP(C79, [1]Localização!A:R, 18, FALSE), "Em estoque")</f>
        <v>#N/A</v>
      </c>
      <c r="E79" t="e">
        <f>VLOOKUP(Tabela1[[#This Row],[Código (SKU)]],Necessidade!B:P,15,FALSE)</f>
        <v>#N/A</v>
      </c>
      <c r="F79" t="e">
        <f>Tabela1[[#This Row],[Estoque Virtual]]-Tabela1[[#This Row],[Qtd]]</f>
        <v>#N/A</v>
      </c>
      <c r="G79" s="12" t="e">
        <f>IF(OR(Tabela1[[#This Row],[Análise]]="Em estoque",Tabela1[[#This Row],[Análise]]=$V$4),"Atende 7 dias","Atende 30 dias")</f>
        <v>#N/A</v>
      </c>
    </row>
    <row r="80" spans="1:7" x14ac:dyDescent="0.25">
      <c r="A80">
        <f>'Pedidos de Venda'!A86</f>
        <v>0</v>
      </c>
      <c r="B80">
        <f>'Pedidos de Venda'!C86</f>
        <v>0</v>
      </c>
      <c r="C80">
        <f>'Pedidos de Venda'!B86</f>
        <v>0</v>
      </c>
      <c r="D80" s="65" t="e">
        <f>IF(F80&lt;=0, VLOOKUP(C80, [1]Localização!A:R, 18, FALSE), "Em estoque")</f>
        <v>#N/A</v>
      </c>
      <c r="E80" t="e">
        <f>VLOOKUP(Tabela1[[#This Row],[Código (SKU)]],Necessidade!B:P,15,FALSE)</f>
        <v>#N/A</v>
      </c>
      <c r="F80" t="e">
        <f>Tabela1[[#This Row],[Estoque Virtual]]-Tabela1[[#This Row],[Qtd]]</f>
        <v>#N/A</v>
      </c>
      <c r="G80" s="12" t="e">
        <f>IF(OR(Tabela1[[#This Row],[Análise]]="Em estoque",Tabela1[[#This Row],[Análise]]=$V$4),"Atende 7 dias","Atende 30 dias")</f>
        <v>#N/A</v>
      </c>
    </row>
    <row r="81" spans="1:7" x14ac:dyDescent="0.25">
      <c r="A81">
        <f>'Pedidos de Venda'!A87</f>
        <v>0</v>
      </c>
      <c r="B81">
        <f>'Pedidos de Venda'!C87</f>
        <v>0</v>
      </c>
      <c r="C81">
        <f>'Pedidos de Venda'!B87</f>
        <v>0</v>
      </c>
      <c r="D81" s="65" t="e">
        <f>IF(F81&lt;=0, VLOOKUP(C81, [1]Localização!A:R, 18, FALSE), "Em estoque")</f>
        <v>#N/A</v>
      </c>
      <c r="E81" t="e">
        <f>VLOOKUP(Tabela1[[#This Row],[Código (SKU)]],Necessidade!B:P,15,FALSE)</f>
        <v>#N/A</v>
      </c>
      <c r="F81" t="e">
        <f>Tabela1[[#This Row],[Estoque Virtual]]-Tabela1[[#This Row],[Qtd]]</f>
        <v>#N/A</v>
      </c>
      <c r="G81" s="12" t="e">
        <f>IF(OR(Tabela1[[#This Row],[Análise]]="Em estoque",Tabela1[[#This Row],[Análise]]=$V$4),"Atende 7 dias","Atende 30 dias")</f>
        <v>#N/A</v>
      </c>
    </row>
    <row r="82" spans="1:7" x14ac:dyDescent="0.25">
      <c r="A82">
        <f>'Pedidos de Venda'!A88</f>
        <v>0</v>
      </c>
      <c r="B82">
        <f>'Pedidos de Venda'!C88</f>
        <v>0</v>
      </c>
      <c r="C82">
        <f>'Pedidos de Venda'!B88</f>
        <v>0</v>
      </c>
      <c r="D82" s="65" t="e">
        <f>IF(F82&lt;=0, VLOOKUP(C82, [1]Localização!A:R, 18, FALSE), "Em estoque")</f>
        <v>#N/A</v>
      </c>
      <c r="E82" t="e">
        <f>VLOOKUP(Tabela1[[#This Row],[Código (SKU)]],Necessidade!B:P,15,FALSE)</f>
        <v>#N/A</v>
      </c>
      <c r="F82" t="e">
        <f>Tabela1[[#This Row],[Estoque Virtual]]-Tabela1[[#This Row],[Qtd]]</f>
        <v>#N/A</v>
      </c>
      <c r="G82" s="12" t="e">
        <f>IF(OR(Tabela1[[#This Row],[Análise]]="Em estoque",Tabela1[[#This Row],[Análise]]=$V$4),"Atende 7 dias","Atende 30 dias")</f>
        <v>#N/A</v>
      </c>
    </row>
    <row r="83" spans="1:7" x14ac:dyDescent="0.25">
      <c r="A83">
        <f>'Pedidos de Venda'!A89</f>
        <v>0</v>
      </c>
      <c r="B83">
        <f>'Pedidos de Venda'!C89</f>
        <v>0</v>
      </c>
      <c r="C83">
        <f>'Pedidos de Venda'!B89</f>
        <v>0</v>
      </c>
      <c r="D83" s="65" t="e">
        <f>IF(F83&lt;=0, VLOOKUP(C83, [1]Localização!A:R, 18, FALSE), "Em estoque")</f>
        <v>#N/A</v>
      </c>
      <c r="E83" t="e">
        <f>VLOOKUP(Tabela1[[#This Row],[Código (SKU)]],Necessidade!B:P,15,FALSE)</f>
        <v>#N/A</v>
      </c>
      <c r="F83" t="e">
        <f>Tabela1[[#This Row],[Estoque Virtual]]-Tabela1[[#This Row],[Qtd]]</f>
        <v>#N/A</v>
      </c>
      <c r="G83" s="12" t="e">
        <f>IF(OR(Tabela1[[#This Row],[Análise]]="Em estoque",Tabela1[[#This Row],[Análise]]=$V$4),"Atende 7 dias","Atende 30 dias")</f>
        <v>#N/A</v>
      </c>
    </row>
    <row r="84" spans="1:7" x14ac:dyDescent="0.25">
      <c r="A84">
        <f>'Pedidos de Venda'!A90</f>
        <v>0</v>
      </c>
      <c r="B84">
        <f>'Pedidos de Venda'!C90</f>
        <v>0</v>
      </c>
      <c r="C84">
        <f>'Pedidos de Venda'!B90</f>
        <v>0</v>
      </c>
      <c r="D84" s="65" t="e">
        <f>IF(F84&lt;=0, VLOOKUP(C84, [1]Localização!A:R, 18, FALSE), "Em estoque")</f>
        <v>#N/A</v>
      </c>
      <c r="E84" t="e">
        <f>VLOOKUP(Tabela1[[#This Row],[Código (SKU)]],Necessidade!B:P,15,FALSE)</f>
        <v>#N/A</v>
      </c>
      <c r="F84" t="e">
        <f>Tabela1[[#This Row],[Estoque Virtual]]-Tabela1[[#This Row],[Qtd]]</f>
        <v>#N/A</v>
      </c>
      <c r="G84" s="12" t="e">
        <f>IF(OR(Tabela1[[#This Row],[Análise]]="Em estoque",Tabela1[[#This Row],[Análise]]=$V$4),"Atende 7 dias","Atende 30 dias")</f>
        <v>#N/A</v>
      </c>
    </row>
    <row r="85" spans="1:7" x14ac:dyDescent="0.25">
      <c r="A85">
        <f>'Pedidos de Venda'!A91</f>
        <v>0</v>
      </c>
      <c r="B85">
        <f>'Pedidos de Venda'!C91</f>
        <v>0</v>
      </c>
      <c r="C85">
        <f>'Pedidos de Venda'!B91</f>
        <v>0</v>
      </c>
      <c r="D85" s="65" t="e">
        <f>IF(F85&lt;=0, VLOOKUP(C85, [1]Localização!A:R, 18, FALSE), "Em estoque")</f>
        <v>#N/A</v>
      </c>
      <c r="E85" t="e">
        <f>VLOOKUP(Tabela1[[#This Row],[Código (SKU)]],Necessidade!B:P,15,FALSE)</f>
        <v>#N/A</v>
      </c>
      <c r="F85" t="e">
        <f>Tabela1[[#This Row],[Estoque Virtual]]-Tabela1[[#This Row],[Qtd]]</f>
        <v>#N/A</v>
      </c>
      <c r="G85" s="12" t="e">
        <f>IF(OR(Tabela1[[#This Row],[Análise]]="Em estoque",Tabela1[[#This Row],[Análise]]=$V$4),"Atende 7 dias","Atende 30 dias")</f>
        <v>#N/A</v>
      </c>
    </row>
    <row r="86" spans="1:7" x14ac:dyDescent="0.25">
      <c r="A86">
        <f>'Pedidos de Venda'!A92</f>
        <v>0</v>
      </c>
      <c r="B86">
        <f>'Pedidos de Venda'!C92</f>
        <v>0</v>
      </c>
      <c r="C86">
        <f>'Pedidos de Venda'!B92</f>
        <v>0</v>
      </c>
      <c r="D86" s="65" t="e">
        <f>IF(F86&lt;=0, VLOOKUP(C86, [1]Localização!A:R, 18, FALSE), "Em estoque")</f>
        <v>#N/A</v>
      </c>
      <c r="E86" t="e">
        <f>VLOOKUP(Tabela1[[#This Row],[Código (SKU)]],Necessidade!B:P,15,FALSE)</f>
        <v>#N/A</v>
      </c>
      <c r="F86" t="e">
        <f>Tabela1[[#This Row],[Estoque Virtual]]-Tabela1[[#This Row],[Qtd]]</f>
        <v>#N/A</v>
      </c>
      <c r="G86" s="12" t="e">
        <f>IF(OR(Tabela1[[#This Row],[Análise]]="Em estoque",Tabela1[[#This Row],[Análise]]=$V$4),"Atende 7 dias","Atende 30 dias")</f>
        <v>#N/A</v>
      </c>
    </row>
    <row r="87" spans="1:7" x14ac:dyDescent="0.25">
      <c r="A87">
        <f>'Pedidos de Venda'!A93</f>
        <v>0</v>
      </c>
      <c r="B87">
        <f>'Pedidos de Venda'!C93</f>
        <v>0</v>
      </c>
      <c r="C87">
        <f>'Pedidos de Venda'!B93</f>
        <v>0</v>
      </c>
      <c r="D87" s="65" t="e">
        <f>IF(F87&lt;=0, VLOOKUP(C87, [1]Localização!A:R, 18, FALSE), "Em estoque")</f>
        <v>#N/A</v>
      </c>
      <c r="E87" t="e">
        <f>VLOOKUP(Tabela1[[#This Row],[Código (SKU)]],Necessidade!B:P,15,FALSE)</f>
        <v>#N/A</v>
      </c>
      <c r="F87" t="e">
        <f>Tabela1[[#This Row],[Estoque Virtual]]-Tabela1[[#This Row],[Qtd]]</f>
        <v>#N/A</v>
      </c>
      <c r="G87" s="12" t="e">
        <f>IF(OR(Tabela1[[#This Row],[Análise]]="Em estoque",Tabela1[[#This Row],[Análise]]=$V$4),"Atende 7 dias","Atende 30 dias")</f>
        <v>#N/A</v>
      </c>
    </row>
    <row r="88" spans="1:7" x14ac:dyDescent="0.25">
      <c r="A88">
        <f>'Pedidos de Venda'!A94</f>
        <v>0</v>
      </c>
      <c r="B88">
        <f>'Pedidos de Venda'!C94</f>
        <v>0</v>
      </c>
      <c r="C88">
        <f>'Pedidos de Venda'!B94</f>
        <v>0</v>
      </c>
      <c r="D88" s="65" t="e">
        <f>IF(F88&lt;=0, VLOOKUP(C88, [1]Localização!A:R, 18, FALSE), "Em estoque")</f>
        <v>#N/A</v>
      </c>
      <c r="E88" t="e">
        <f>VLOOKUP(Tabela1[[#This Row],[Código (SKU)]],Necessidade!B:P,15,FALSE)</f>
        <v>#N/A</v>
      </c>
      <c r="F88" t="e">
        <f>Tabela1[[#This Row],[Estoque Virtual]]-Tabela1[[#This Row],[Qtd]]</f>
        <v>#N/A</v>
      </c>
      <c r="G88" s="12" t="e">
        <f>IF(OR(Tabela1[[#This Row],[Análise]]="Em estoque",Tabela1[[#This Row],[Análise]]=$V$4),"Atende 7 dias","Atende 30 dias")</f>
        <v>#N/A</v>
      </c>
    </row>
    <row r="89" spans="1:7" x14ac:dyDescent="0.25">
      <c r="A89">
        <f>'Pedidos de Venda'!A95</f>
        <v>0</v>
      </c>
      <c r="B89">
        <f>'Pedidos de Venda'!C95</f>
        <v>0</v>
      </c>
      <c r="C89">
        <f>'Pedidos de Venda'!B95</f>
        <v>0</v>
      </c>
      <c r="D89" s="65" t="e">
        <f>IF(F89&lt;=0, VLOOKUP(C89, [1]Localização!A:R, 18, FALSE), "Em estoque")</f>
        <v>#N/A</v>
      </c>
      <c r="E89" t="e">
        <f>VLOOKUP(Tabela1[[#This Row],[Código (SKU)]],Necessidade!B:P,15,FALSE)</f>
        <v>#N/A</v>
      </c>
      <c r="F89" t="e">
        <f>Tabela1[[#This Row],[Estoque Virtual]]-Tabela1[[#This Row],[Qtd]]</f>
        <v>#N/A</v>
      </c>
      <c r="G89" s="12" t="e">
        <f>IF(OR(Tabela1[[#This Row],[Análise]]="Em estoque",Tabela1[[#This Row],[Análise]]=$V$4),"Atende 7 dias","Atende 30 dias")</f>
        <v>#N/A</v>
      </c>
    </row>
    <row r="90" spans="1:7" x14ac:dyDescent="0.25">
      <c r="A90">
        <f>'Pedidos de Venda'!A96</f>
        <v>0</v>
      </c>
      <c r="B90">
        <f>'Pedidos de Venda'!C96</f>
        <v>0</v>
      </c>
      <c r="C90">
        <f>'Pedidos de Venda'!B96</f>
        <v>0</v>
      </c>
      <c r="D90" s="65" t="e">
        <f>IF(F90&lt;=0, VLOOKUP(C90, [1]Localização!A:R, 18, FALSE), "Em estoque")</f>
        <v>#N/A</v>
      </c>
      <c r="E90" t="e">
        <f>VLOOKUP(Tabela1[[#This Row],[Código (SKU)]],Necessidade!B:P,15,FALSE)</f>
        <v>#N/A</v>
      </c>
      <c r="F90" t="e">
        <f>Tabela1[[#This Row],[Estoque Virtual]]-Tabela1[[#This Row],[Qtd]]</f>
        <v>#N/A</v>
      </c>
      <c r="G90" s="12" t="e">
        <f>IF(OR(Tabela1[[#This Row],[Análise]]="Em estoque",Tabela1[[#This Row],[Análise]]=$V$4),"Atende 7 dias","Atende 30 dias")</f>
        <v>#N/A</v>
      </c>
    </row>
    <row r="91" spans="1:7" x14ac:dyDescent="0.25">
      <c r="A91">
        <f>'Pedidos de Venda'!A97</f>
        <v>0</v>
      </c>
      <c r="B91">
        <f>'Pedidos de Venda'!C97</f>
        <v>0</v>
      </c>
      <c r="C91">
        <f>'Pedidos de Venda'!B97</f>
        <v>0</v>
      </c>
      <c r="D91" s="65" t="e">
        <f>IF(F91&lt;=0, VLOOKUP(C91, [1]Localização!A:R, 18, FALSE), "Em estoque")</f>
        <v>#N/A</v>
      </c>
      <c r="E91" t="e">
        <f>VLOOKUP(Tabela1[[#This Row],[Código (SKU)]],Necessidade!B:P,15,FALSE)</f>
        <v>#N/A</v>
      </c>
      <c r="F91" t="e">
        <f>Tabela1[[#This Row],[Estoque Virtual]]-Tabela1[[#This Row],[Qtd]]</f>
        <v>#N/A</v>
      </c>
      <c r="G91" s="12" t="e">
        <f>IF(OR(Tabela1[[#This Row],[Análise]]="Em estoque",Tabela1[[#This Row],[Análise]]=$V$4),"Atende 7 dias","Atende 30 dias")</f>
        <v>#N/A</v>
      </c>
    </row>
    <row r="92" spans="1:7" x14ac:dyDescent="0.25">
      <c r="A92">
        <f>'Pedidos de Venda'!A98</f>
        <v>0</v>
      </c>
      <c r="B92">
        <f>'Pedidos de Venda'!C98</f>
        <v>0</v>
      </c>
      <c r="C92">
        <f>'Pedidos de Venda'!B98</f>
        <v>0</v>
      </c>
      <c r="D92" s="65" t="e">
        <f>IF(F92&lt;=0, VLOOKUP(C92, [1]Localização!A:R, 18, FALSE), "Em estoque")</f>
        <v>#N/A</v>
      </c>
      <c r="E92" t="e">
        <f>VLOOKUP(Tabela1[[#This Row],[Código (SKU)]],Necessidade!B:P,15,FALSE)</f>
        <v>#N/A</v>
      </c>
      <c r="F92" t="e">
        <f>Tabela1[[#This Row],[Estoque Virtual]]-Tabela1[[#This Row],[Qtd]]</f>
        <v>#N/A</v>
      </c>
      <c r="G92" s="12" t="e">
        <f>IF(OR(Tabela1[[#This Row],[Análise]]="Em estoque",Tabela1[[#This Row],[Análise]]=$V$4),"Atende 7 dias","Atende 30 dias")</f>
        <v>#N/A</v>
      </c>
    </row>
    <row r="93" spans="1:7" x14ac:dyDescent="0.25">
      <c r="A93">
        <f>'Pedidos de Venda'!A99</f>
        <v>0</v>
      </c>
      <c r="B93">
        <f>'Pedidos de Venda'!C99</f>
        <v>0</v>
      </c>
      <c r="C93">
        <f>'Pedidos de Venda'!B99</f>
        <v>0</v>
      </c>
      <c r="D93" s="65" t="e">
        <f>IF(F93&lt;=0, VLOOKUP(C93, [1]Localização!A:R, 18, FALSE), "Em estoque")</f>
        <v>#N/A</v>
      </c>
      <c r="E93" t="e">
        <f>VLOOKUP(Tabela1[[#This Row],[Código (SKU)]],Necessidade!B:P,15,FALSE)</f>
        <v>#N/A</v>
      </c>
      <c r="F93" t="e">
        <f>Tabela1[[#This Row],[Estoque Virtual]]-Tabela1[[#This Row],[Qtd]]</f>
        <v>#N/A</v>
      </c>
      <c r="G93" s="12" t="e">
        <f>IF(OR(Tabela1[[#This Row],[Análise]]="Em estoque",Tabela1[[#This Row],[Análise]]=$V$4),"Atende 7 dias","Atende 30 dias")</f>
        <v>#N/A</v>
      </c>
    </row>
    <row r="94" spans="1:7" x14ac:dyDescent="0.25">
      <c r="A94">
        <f>'Pedidos de Venda'!A100</f>
        <v>0</v>
      </c>
      <c r="B94">
        <f>'Pedidos de Venda'!C100</f>
        <v>0</v>
      </c>
      <c r="C94">
        <f>'Pedidos de Venda'!B100</f>
        <v>0</v>
      </c>
      <c r="D94" s="65" t="e">
        <f>IF(F94&lt;=0, VLOOKUP(C94, [1]Localização!A:R, 18, FALSE), "Em estoque")</f>
        <v>#N/A</v>
      </c>
      <c r="E94" t="e">
        <f>VLOOKUP(Tabela1[[#This Row],[Código (SKU)]],Necessidade!B:P,15,FALSE)</f>
        <v>#N/A</v>
      </c>
      <c r="F94" t="e">
        <f>Tabela1[[#This Row],[Estoque Virtual]]-Tabela1[[#This Row],[Qtd]]</f>
        <v>#N/A</v>
      </c>
      <c r="G94" s="12" t="e">
        <f>IF(OR(Tabela1[[#This Row],[Análise]]="Em estoque",Tabela1[[#This Row],[Análise]]=$V$4),"Atende 7 dias","Atende 30 dias")</f>
        <v>#N/A</v>
      </c>
    </row>
    <row r="95" spans="1:7" x14ac:dyDescent="0.25">
      <c r="A95">
        <f>'Pedidos de Venda'!A101</f>
        <v>0</v>
      </c>
      <c r="B95">
        <f>'Pedidos de Venda'!C101</f>
        <v>0</v>
      </c>
      <c r="C95">
        <f>'Pedidos de Venda'!B101</f>
        <v>0</v>
      </c>
      <c r="D95" s="65" t="e">
        <f>IF(F95&lt;=0, VLOOKUP(C95, [1]Localização!A:R, 18, FALSE), "Em estoque")</f>
        <v>#N/A</v>
      </c>
      <c r="E95" t="e">
        <f>VLOOKUP(Tabela1[[#This Row],[Código (SKU)]],Necessidade!B:P,15,FALSE)</f>
        <v>#N/A</v>
      </c>
      <c r="F95" t="e">
        <f>Tabela1[[#This Row],[Estoque Virtual]]-Tabela1[[#This Row],[Qtd]]</f>
        <v>#N/A</v>
      </c>
      <c r="G95" s="12" t="e">
        <f>IF(OR(Tabela1[[#This Row],[Análise]]="Em estoque",Tabela1[[#This Row],[Análise]]=$V$4),"Atende 7 dias","Atende 30 dias")</f>
        <v>#N/A</v>
      </c>
    </row>
    <row r="96" spans="1:7" x14ac:dyDescent="0.25">
      <c r="A96">
        <f>'Pedidos de Venda'!A102</f>
        <v>0</v>
      </c>
      <c r="B96">
        <f>'Pedidos de Venda'!C102</f>
        <v>0</v>
      </c>
      <c r="C96">
        <f>'Pedidos de Venda'!B102</f>
        <v>0</v>
      </c>
      <c r="D96" s="65" t="e">
        <f>IF(F96&lt;=0, VLOOKUP(C96, [1]Localização!A:R, 18, FALSE), "Em estoque")</f>
        <v>#N/A</v>
      </c>
      <c r="E96" t="e">
        <f>VLOOKUP(Tabela1[[#This Row],[Código (SKU)]],Necessidade!B:P,15,FALSE)</f>
        <v>#N/A</v>
      </c>
      <c r="F96" t="e">
        <f>Tabela1[[#This Row],[Estoque Virtual]]-Tabela1[[#This Row],[Qtd]]</f>
        <v>#N/A</v>
      </c>
      <c r="G96" s="12" t="e">
        <f>IF(OR(Tabela1[[#This Row],[Análise]]="Em estoque",Tabela1[[#This Row],[Análise]]=$V$4),"Atende 7 dias","Atende 30 dias")</f>
        <v>#N/A</v>
      </c>
    </row>
    <row r="97" spans="1:7" x14ac:dyDescent="0.25">
      <c r="A97">
        <f>'Pedidos de Venda'!A103</f>
        <v>0</v>
      </c>
      <c r="B97">
        <f>'Pedidos de Venda'!C103</f>
        <v>0</v>
      </c>
      <c r="C97">
        <f>'Pedidos de Venda'!B103</f>
        <v>0</v>
      </c>
      <c r="D97" s="65" t="e">
        <f>IF(F97&lt;=0, VLOOKUP(C97, [1]Localização!A:R, 18, FALSE), "Em estoque")</f>
        <v>#N/A</v>
      </c>
      <c r="E97" t="e">
        <f>VLOOKUP(Tabela1[[#This Row],[Código (SKU)]],Necessidade!B:P,15,FALSE)</f>
        <v>#N/A</v>
      </c>
      <c r="F97" t="e">
        <f>Tabela1[[#This Row],[Estoque Virtual]]-Tabela1[[#This Row],[Qtd]]</f>
        <v>#N/A</v>
      </c>
      <c r="G97" s="12" t="e">
        <f>IF(OR(Tabela1[[#This Row],[Análise]]="Em estoque",Tabela1[[#This Row],[Análise]]=$V$4),"Atende 7 dias","Atende 30 dias")</f>
        <v>#N/A</v>
      </c>
    </row>
    <row r="98" spans="1:7" x14ac:dyDescent="0.25">
      <c r="A98">
        <f>'Pedidos de Venda'!A104</f>
        <v>0</v>
      </c>
      <c r="B98">
        <f>'Pedidos de Venda'!C104</f>
        <v>0</v>
      </c>
      <c r="C98">
        <f>'Pedidos de Venda'!B104</f>
        <v>0</v>
      </c>
      <c r="D98" s="65" t="e">
        <f>IF(F98&lt;=0, VLOOKUP(C98, [1]Localização!A:R, 18, FALSE), "Em estoque")</f>
        <v>#N/A</v>
      </c>
      <c r="E98" t="e">
        <f>VLOOKUP(Tabela1[[#This Row],[Código (SKU)]],Necessidade!B:P,15,FALSE)</f>
        <v>#N/A</v>
      </c>
      <c r="F98" t="e">
        <f>Tabela1[[#This Row],[Estoque Virtual]]-Tabela1[[#This Row],[Qtd]]</f>
        <v>#N/A</v>
      </c>
      <c r="G98" s="12" t="e">
        <f>IF(OR(Tabela1[[#This Row],[Análise]]="Em estoque",Tabela1[[#This Row],[Análise]]=$V$4),"Atende 7 dias","Atende 30 dias")</f>
        <v>#N/A</v>
      </c>
    </row>
    <row r="99" spans="1:7" x14ac:dyDescent="0.25">
      <c r="A99">
        <f>'Pedidos de Venda'!A105</f>
        <v>0</v>
      </c>
      <c r="B99">
        <f>'Pedidos de Venda'!C105</f>
        <v>0</v>
      </c>
      <c r="C99">
        <f>'Pedidos de Venda'!B105</f>
        <v>0</v>
      </c>
      <c r="D99" s="65" t="e">
        <f>IF(F99&lt;=0, VLOOKUP(C99, [1]Localização!A:R, 18, FALSE), "Em estoque")</f>
        <v>#N/A</v>
      </c>
      <c r="E99" t="e">
        <f>VLOOKUP(Tabela1[[#This Row],[Código (SKU)]],Necessidade!B:P,15,FALSE)</f>
        <v>#N/A</v>
      </c>
      <c r="F99" t="e">
        <f>Tabela1[[#This Row],[Estoque Virtual]]-Tabela1[[#This Row],[Qtd]]</f>
        <v>#N/A</v>
      </c>
      <c r="G99" s="12" t="e">
        <f>IF(OR(Tabela1[[#This Row],[Análise]]="Em estoque",Tabela1[[#This Row],[Análise]]=$V$4),"Atende 7 dias","Atende 30 dias")</f>
        <v>#N/A</v>
      </c>
    </row>
    <row r="100" spans="1:7" x14ac:dyDescent="0.25">
      <c r="A100">
        <f>'Pedidos de Venda'!A106</f>
        <v>0</v>
      </c>
      <c r="B100">
        <f>'Pedidos de Venda'!C106</f>
        <v>0</v>
      </c>
      <c r="C100">
        <f>'Pedidos de Venda'!B106</f>
        <v>0</v>
      </c>
      <c r="D100" s="65" t="e">
        <f>IF(F100&lt;=0, VLOOKUP(C100, [1]Localização!A:R, 18, FALSE), "Em estoque")</f>
        <v>#N/A</v>
      </c>
      <c r="E100" t="e">
        <f>VLOOKUP(Tabela1[[#This Row],[Código (SKU)]],Necessidade!B:P,15,FALSE)</f>
        <v>#N/A</v>
      </c>
      <c r="F100" t="e">
        <f>Tabela1[[#This Row],[Estoque Virtual]]-Tabela1[[#This Row],[Qtd]]</f>
        <v>#N/A</v>
      </c>
      <c r="G100" s="12" t="e">
        <f>IF(OR(Tabela1[[#This Row],[Análise]]="Em estoque",Tabela1[[#This Row],[Análise]]=$V$4),"Atende 7 dias","Atende 30 dias")</f>
        <v>#N/A</v>
      </c>
    </row>
    <row r="101" spans="1:7" x14ac:dyDescent="0.25">
      <c r="A101">
        <f>'Pedidos de Venda'!A107</f>
        <v>0</v>
      </c>
      <c r="B101">
        <f>'Pedidos de Venda'!C107</f>
        <v>0</v>
      </c>
      <c r="C101">
        <f>'Pedidos de Venda'!B107</f>
        <v>0</v>
      </c>
      <c r="D101" s="65" t="e">
        <f>IF(F101&lt;=0, VLOOKUP(C101, [1]Localização!A:R, 18, FALSE), "Em estoque")</f>
        <v>#N/A</v>
      </c>
      <c r="E101" t="e">
        <f>VLOOKUP(Tabela1[[#This Row],[Código (SKU)]],Necessidade!B:P,15,FALSE)</f>
        <v>#N/A</v>
      </c>
      <c r="F101" t="e">
        <f>Tabela1[[#This Row],[Estoque Virtual]]-Tabela1[[#This Row],[Qtd]]</f>
        <v>#N/A</v>
      </c>
      <c r="G101" s="12" t="e">
        <f>IF(OR(Tabela1[[#This Row],[Análise]]="Em estoque",Tabela1[[#This Row],[Análise]]=$V$4),"Atende 7 dias","Atende 30 dias")</f>
        <v>#N/A</v>
      </c>
    </row>
    <row r="102" spans="1:7" x14ac:dyDescent="0.25">
      <c r="A102">
        <f>'Pedidos de Venda'!A108</f>
        <v>0</v>
      </c>
      <c r="B102">
        <f>'Pedidos de Venda'!C108</f>
        <v>0</v>
      </c>
      <c r="C102">
        <f>'Pedidos de Venda'!B108</f>
        <v>0</v>
      </c>
      <c r="D102" s="65" t="e">
        <f>IF(F102&lt;=0, VLOOKUP(C102, [1]Localização!A:R, 18, FALSE), "Em estoque")</f>
        <v>#N/A</v>
      </c>
      <c r="E102" t="e">
        <f>VLOOKUP(Tabela1[[#This Row],[Código (SKU)]],Necessidade!B:P,15,FALSE)</f>
        <v>#N/A</v>
      </c>
      <c r="F102" t="e">
        <f>Tabela1[[#This Row],[Estoque Virtual]]-Tabela1[[#This Row],[Qtd]]</f>
        <v>#N/A</v>
      </c>
      <c r="G102" s="12" t="e">
        <f>IF(OR(Tabela1[[#This Row],[Análise]]="Em estoque",Tabela1[[#This Row],[Análise]]=$V$4),"Atende 7 dias","Atende 30 dias")</f>
        <v>#N/A</v>
      </c>
    </row>
    <row r="103" spans="1:7" x14ac:dyDescent="0.25">
      <c r="A103">
        <f>'Pedidos de Venda'!A109</f>
        <v>0</v>
      </c>
      <c r="B103">
        <f>'Pedidos de Venda'!C109</f>
        <v>0</v>
      </c>
      <c r="C103">
        <f>'Pedidos de Venda'!B109</f>
        <v>0</v>
      </c>
      <c r="D103" s="65" t="e">
        <f>IF(F103&lt;=0, VLOOKUP(C103, [1]Localização!A:R, 18, FALSE), "Em estoque")</f>
        <v>#N/A</v>
      </c>
      <c r="E103" t="e">
        <f>VLOOKUP(Tabela1[[#This Row],[Código (SKU)]],Necessidade!B:P,15,FALSE)</f>
        <v>#N/A</v>
      </c>
      <c r="F103" t="e">
        <f>Tabela1[[#This Row],[Estoque Virtual]]-Tabela1[[#This Row],[Qtd]]</f>
        <v>#N/A</v>
      </c>
      <c r="G103" s="12" t="e">
        <f>IF(OR(Tabela1[[#This Row],[Análise]]="Em estoque",Tabela1[[#This Row],[Análise]]=$V$4),"Atende 7 dias","Atende 30 dias")</f>
        <v>#N/A</v>
      </c>
    </row>
    <row r="104" spans="1:7" x14ac:dyDescent="0.25">
      <c r="A104">
        <f>'Pedidos de Venda'!A110</f>
        <v>0</v>
      </c>
      <c r="B104">
        <f>'Pedidos de Venda'!C110</f>
        <v>0</v>
      </c>
      <c r="C104">
        <f>'Pedidos de Venda'!B110</f>
        <v>0</v>
      </c>
      <c r="D104" s="65" t="e">
        <f>IF(F104&lt;=0, VLOOKUP(C104, [1]Localização!A:R, 18, FALSE), "Em estoque")</f>
        <v>#N/A</v>
      </c>
      <c r="E104" t="e">
        <f>VLOOKUP(Tabela1[[#This Row],[Código (SKU)]],Necessidade!B:P,15,FALSE)</f>
        <v>#N/A</v>
      </c>
      <c r="F104" t="e">
        <f>Tabela1[[#This Row],[Estoque Virtual]]-Tabela1[[#This Row],[Qtd]]</f>
        <v>#N/A</v>
      </c>
      <c r="G104" s="12" t="e">
        <f>IF(OR(Tabela1[[#This Row],[Análise]]="Em estoque",Tabela1[[#This Row],[Análise]]=$V$4),"Atende 7 dias","Atende 30 dias")</f>
        <v>#N/A</v>
      </c>
    </row>
    <row r="105" spans="1:7" x14ac:dyDescent="0.25">
      <c r="A105">
        <f>'Pedidos de Venda'!A111</f>
        <v>0</v>
      </c>
      <c r="B105">
        <f>'Pedidos de Venda'!C111</f>
        <v>0</v>
      </c>
      <c r="C105">
        <f>'Pedidos de Venda'!B111</f>
        <v>0</v>
      </c>
      <c r="D105" s="65" t="e">
        <f>IF(F105&lt;=0, VLOOKUP(C105, [1]Localização!A:R, 18, FALSE), "Em estoque")</f>
        <v>#N/A</v>
      </c>
      <c r="E105" t="e">
        <f>VLOOKUP(Tabela1[[#This Row],[Código (SKU)]],Necessidade!B:P,15,FALSE)</f>
        <v>#N/A</v>
      </c>
      <c r="F105" t="e">
        <f>Tabela1[[#This Row],[Estoque Virtual]]-Tabela1[[#This Row],[Qtd]]</f>
        <v>#N/A</v>
      </c>
      <c r="G105" s="12" t="e">
        <f>IF(OR(Tabela1[[#This Row],[Análise]]="Em estoque",Tabela1[[#This Row],[Análise]]=$V$4),"Atende 7 dias","Atende 30 dias")</f>
        <v>#N/A</v>
      </c>
    </row>
    <row r="106" spans="1:7" x14ac:dyDescent="0.25">
      <c r="A106">
        <f>'Pedidos de Venda'!A112</f>
        <v>0</v>
      </c>
      <c r="B106">
        <f>'Pedidos de Venda'!C112</f>
        <v>0</v>
      </c>
      <c r="C106">
        <f>'Pedidos de Venda'!B112</f>
        <v>0</v>
      </c>
      <c r="D106" s="65" t="e">
        <f>IF(F106&lt;=0, VLOOKUP(C106, [1]Localização!A:R, 18, FALSE), "Em estoque")</f>
        <v>#N/A</v>
      </c>
      <c r="E106" t="e">
        <f>VLOOKUP(Tabela1[[#This Row],[Código (SKU)]],Necessidade!B:P,15,FALSE)</f>
        <v>#N/A</v>
      </c>
      <c r="F106" t="e">
        <f>Tabela1[[#This Row],[Estoque Virtual]]-Tabela1[[#This Row],[Qtd]]</f>
        <v>#N/A</v>
      </c>
      <c r="G106" s="12" t="e">
        <f>IF(OR(Tabela1[[#This Row],[Análise]]="Em estoque",Tabela1[[#This Row],[Análise]]=$V$4),"Atende 7 dias","Atende 30 dias")</f>
        <v>#N/A</v>
      </c>
    </row>
    <row r="107" spans="1:7" x14ac:dyDescent="0.25">
      <c r="A107">
        <f>'Pedidos de Venda'!A113</f>
        <v>0</v>
      </c>
      <c r="B107">
        <f>'Pedidos de Venda'!C113</f>
        <v>0</v>
      </c>
      <c r="C107">
        <f>'Pedidos de Venda'!B113</f>
        <v>0</v>
      </c>
      <c r="D107" s="65" t="e">
        <f>IF(F107&lt;=0, VLOOKUP(C107, [1]Localização!A:R, 18, FALSE), "Em estoque")</f>
        <v>#N/A</v>
      </c>
      <c r="E107" t="e">
        <f>VLOOKUP(Tabela1[[#This Row],[Código (SKU)]],Necessidade!B:P,15,FALSE)</f>
        <v>#N/A</v>
      </c>
      <c r="F107" t="e">
        <f>Tabela1[[#This Row],[Estoque Virtual]]-Tabela1[[#This Row],[Qtd]]</f>
        <v>#N/A</v>
      </c>
      <c r="G107" s="12" t="e">
        <f>IF(OR(Tabela1[[#This Row],[Análise]]="Em estoque",Tabela1[[#This Row],[Análise]]=$V$4),"Atende 7 dias","Atende 30 dias")</f>
        <v>#N/A</v>
      </c>
    </row>
    <row r="108" spans="1:7" x14ac:dyDescent="0.25">
      <c r="A108">
        <f>'Pedidos de Venda'!A114</f>
        <v>0</v>
      </c>
      <c r="B108">
        <f>'Pedidos de Venda'!C114</f>
        <v>0</v>
      </c>
      <c r="C108">
        <f>'Pedidos de Venda'!B114</f>
        <v>0</v>
      </c>
      <c r="D108" s="65" t="e">
        <f>IF(F108&lt;=0, VLOOKUP(C108, [1]Localização!A:R, 18, FALSE), "Em estoque")</f>
        <v>#N/A</v>
      </c>
      <c r="E108" t="e">
        <f>VLOOKUP(Tabela1[[#This Row],[Código (SKU)]],Necessidade!B:P,15,FALSE)</f>
        <v>#N/A</v>
      </c>
      <c r="F108" t="e">
        <f>Tabela1[[#This Row],[Estoque Virtual]]-Tabela1[[#This Row],[Qtd]]</f>
        <v>#N/A</v>
      </c>
      <c r="G108" s="12" t="e">
        <f>IF(OR(Tabela1[[#This Row],[Análise]]="Em estoque",Tabela1[[#This Row],[Análise]]=$V$4),"Atende 7 dias","Atende 30 dias")</f>
        <v>#N/A</v>
      </c>
    </row>
    <row r="109" spans="1:7" x14ac:dyDescent="0.25">
      <c r="A109">
        <f>'Pedidos de Venda'!A115</f>
        <v>0</v>
      </c>
      <c r="B109">
        <f>'Pedidos de Venda'!C115</f>
        <v>0</v>
      </c>
      <c r="C109">
        <f>'Pedidos de Venda'!B115</f>
        <v>0</v>
      </c>
      <c r="D109" s="65" t="e">
        <f>IF(F109&lt;=0, VLOOKUP(C109, [1]Localização!A:R, 18, FALSE), "Em estoque")</f>
        <v>#N/A</v>
      </c>
      <c r="E109" t="e">
        <f>VLOOKUP(Tabela1[[#This Row],[Código (SKU)]],Necessidade!B:P,15,FALSE)</f>
        <v>#N/A</v>
      </c>
      <c r="F109" t="e">
        <f>Tabela1[[#This Row],[Estoque Virtual]]-Tabela1[[#This Row],[Qtd]]</f>
        <v>#N/A</v>
      </c>
      <c r="G109" s="12" t="e">
        <f>IF(OR(Tabela1[[#This Row],[Análise]]="Em estoque",Tabela1[[#This Row],[Análise]]=$V$4),"Atende 7 dias","Atende 30 dias")</f>
        <v>#N/A</v>
      </c>
    </row>
    <row r="110" spans="1:7" x14ac:dyDescent="0.25">
      <c r="A110">
        <f>'Pedidos de Venda'!A116</f>
        <v>0</v>
      </c>
      <c r="B110">
        <f>'Pedidos de Venda'!C116</f>
        <v>0</v>
      </c>
      <c r="C110">
        <f>'Pedidos de Venda'!B116</f>
        <v>0</v>
      </c>
      <c r="D110" s="65" t="e">
        <f>IF(F110&lt;=0, VLOOKUP(C110, [1]Localização!A:R, 18, FALSE), "Em estoque")</f>
        <v>#N/A</v>
      </c>
      <c r="E110" t="e">
        <f>VLOOKUP(Tabela1[[#This Row],[Código (SKU)]],Necessidade!B:P,15,FALSE)</f>
        <v>#N/A</v>
      </c>
      <c r="F110" t="e">
        <f>Tabela1[[#This Row],[Estoque Virtual]]-Tabela1[[#This Row],[Qtd]]</f>
        <v>#N/A</v>
      </c>
      <c r="G110" s="12" t="e">
        <f>IF(OR(Tabela1[[#This Row],[Análise]]="Em estoque",Tabela1[[#This Row],[Análise]]=$V$4),"Atende 7 dias","Atende 30 dias")</f>
        <v>#N/A</v>
      </c>
    </row>
    <row r="111" spans="1:7" x14ac:dyDescent="0.25">
      <c r="A111">
        <f>'Pedidos de Venda'!A117</f>
        <v>0</v>
      </c>
      <c r="B111">
        <f>'Pedidos de Venda'!C117</f>
        <v>0</v>
      </c>
      <c r="C111">
        <f>'Pedidos de Venda'!B117</f>
        <v>0</v>
      </c>
      <c r="D111" s="65" t="e">
        <f>IF(F111&lt;=0, VLOOKUP(C111, [1]Localização!A:R, 18, FALSE), "Em estoque")</f>
        <v>#N/A</v>
      </c>
      <c r="E111" t="e">
        <f>VLOOKUP(Tabela1[[#This Row],[Código (SKU)]],Necessidade!B:P,15,FALSE)</f>
        <v>#N/A</v>
      </c>
      <c r="F111" t="e">
        <f>Tabela1[[#This Row],[Estoque Virtual]]-Tabela1[[#This Row],[Qtd]]</f>
        <v>#N/A</v>
      </c>
      <c r="G111" s="12" t="e">
        <f>IF(OR(Tabela1[[#This Row],[Análise]]="Em estoque",Tabela1[[#This Row],[Análise]]=$V$4),"Atende 7 dias","Atende 30 dias")</f>
        <v>#N/A</v>
      </c>
    </row>
    <row r="112" spans="1:7" x14ac:dyDescent="0.25">
      <c r="A112">
        <f>'Pedidos de Venda'!A118</f>
        <v>0</v>
      </c>
      <c r="B112">
        <f>'Pedidos de Venda'!C118</f>
        <v>0</v>
      </c>
      <c r="C112">
        <f>'Pedidos de Venda'!B118</f>
        <v>0</v>
      </c>
      <c r="D112" s="65" t="e">
        <f>IF(F112&lt;=0, VLOOKUP(C112, [1]Localização!A:R, 18, FALSE), "Em estoque")</f>
        <v>#N/A</v>
      </c>
      <c r="E112" t="e">
        <f>VLOOKUP(Tabela1[[#This Row],[Código (SKU)]],Necessidade!B:P,15,FALSE)</f>
        <v>#N/A</v>
      </c>
      <c r="F112" t="e">
        <f>Tabela1[[#This Row],[Estoque Virtual]]-Tabela1[[#This Row],[Qtd]]</f>
        <v>#N/A</v>
      </c>
      <c r="G112" s="12" t="e">
        <f>IF(OR(Tabela1[[#This Row],[Análise]]="Em estoque",Tabela1[[#This Row],[Análise]]=$V$4),"Atende 7 dias","Atende 30 dias")</f>
        <v>#N/A</v>
      </c>
    </row>
    <row r="113" spans="1:7" x14ac:dyDescent="0.25">
      <c r="A113">
        <f>'Pedidos de Venda'!A119</f>
        <v>0</v>
      </c>
      <c r="B113">
        <f>'Pedidos de Venda'!C119</f>
        <v>0</v>
      </c>
      <c r="C113">
        <f>'Pedidos de Venda'!B119</f>
        <v>0</v>
      </c>
      <c r="D113" s="65" t="e">
        <f>IF(F113&lt;=0, VLOOKUP(C113, [1]Localização!A:R, 18, FALSE), "Em estoque")</f>
        <v>#N/A</v>
      </c>
      <c r="E113" t="e">
        <f>VLOOKUP(Tabela1[[#This Row],[Código (SKU)]],Necessidade!B:P,15,FALSE)</f>
        <v>#N/A</v>
      </c>
      <c r="F113" t="e">
        <f>Tabela1[[#This Row],[Estoque Virtual]]-Tabela1[[#This Row],[Qtd]]</f>
        <v>#N/A</v>
      </c>
      <c r="G113" s="12" t="e">
        <f>IF(OR(Tabela1[[#This Row],[Análise]]="Em estoque",Tabela1[[#This Row],[Análise]]=$V$4),"Atende 7 dias","Atende 30 dias")</f>
        <v>#N/A</v>
      </c>
    </row>
    <row r="114" spans="1:7" x14ac:dyDescent="0.25">
      <c r="A114">
        <f>'Pedidos de Venda'!A120</f>
        <v>0</v>
      </c>
      <c r="B114">
        <f>'Pedidos de Venda'!C120</f>
        <v>0</v>
      </c>
      <c r="C114">
        <f>'Pedidos de Venda'!B120</f>
        <v>0</v>
      </c>
      <c r="D114" s="65" t="e">
        <f>IF(F114&lt;=0, VLOOKUP(C114, [1]Localização!A:R, 18, FALSE), "Em estoque")</f>
        <v>#N/A</v>
      </c>
      <c r="E114" t="e">
        <f>VLOOKUP(Tabela1[[#This Row],[Código (SKU)]],Necessidade!B:P,15,FALSE)</f>
        <v>#N/A</v>
      </c>
      <c r="F114" t="e">
        <f>Tabela1[[#This Row],[Estoque Virtual]]-Tabela1[[#This Row],[Qtd]]</f>
        <v>#N/A</v>
      </c>
      <c r="G114" s="12" t="e">
        <f>IF(OR(Tabela1[[#This Row],[Análise]]="Em estoque",Tabela1[[#This Row],[Análise]]=$V$4),"Atende 7 dias","Atende 30 dias")</f>
        <v>#N/A</v>
      </c>
    </row>
    <row r="115" spans="1:7" x14ac:dyDescent="0.25">
      <c r="A115">
        <f>'Pedidos de Venda'!A121</f>
        <v>0</v>
      </c>
      <c r="B115">
        <f>'Pedidos de Venda'!C121</f>
        <v>0</v>
      </c>
      <c r="C115">
        <f>'Pedidos de Venda'!B121</f>
        <v>0</v>
      </c>
      <c r="D115" s="65" t="e">
        <f>IF(F115&lt;=0, VLOOKUP(C115, [1]Localização!A:R, 18, FALSE), "Em estoque")</f>
        <v>#N/A</v>
      </c>
      <c r="E115" t="e">
        <f>VLOOKUP(Tabela1[[#This Row],[Código (SKU)]],Necessidade!B:P,15,FALSE)</f>
        <v>#N/A</v>
      </c>
      <c r="F115" t="e">
        <f>Tabela1[[#This Row],[Estoque Virtual]]-Tabela1[[#This Row],[Qtd]]</f>
        <v>#N/A</v>
      </c>
      <c r="G115" s="12" t="e">
        <f>IF(OR(Tabela1[[#This Row],[Análise]]="Em estoque",Tabela1[[#This Row],[Análise]]=$V$4),"Atende 7 dias","Atende 30 dias")</f>
        <v>#N/A</v>
      </c>
    </row>
    <row r="116" spans="1:7" x14ac:dyDescent="0.25">
      <c r="A116">
        <f>'Pedidos de Venda'!A122</f>
        <v>0</v>
      </c>
      <c r="B116">
        <f>'Pedidos de Venda'!C122</f>
        <v>0</v>
      </c>
      <c r="C116">
        <f>'Pedidos de Venda'!B122</f>
        <v>0</v>
      </c>
      <c r="D116" s="65" t="e">
        <f>IF(F116&lt;=0, VLOOKUP(C116, [1]Localização!A:R, 18, FALSE), "Em estoque")</f>
        <v>#N/A</v>
      </c>
      <c r="E116" t="e">
        <f>VLOOKUP(Tabela1[[#This Row],[Código (SKU)]],Necessidade!B:P,15,FALSE)</f>
        <v>#N/A</v>
      </c>
      <c r="F116" t="e">
        <f>Tabela1[[#This Row],[Estoque Virtual]]-Tabela1[[#This Row],[Qtd]]</f>
        <v>#N/A</v>
      </c>
      <c r="G116" s="12" t="e">
        <f>IF(OR(Tabela1[[#This Row],[Análise]]="Em estoque",Tabela1[[#This Row],[Análise]]=$V$4),"Atende 7 dias","Atende 30 dias")</f>
        <v>#N/A</v>
      </c>
    </row>
    <row r="117" spans="1:7" x14ac:dyDescent="0.25">
      <c r="A117">
        <f>'Pedidos de Venda'!A123</f>
        <v>0</v>
      </c>
      <c r="B117">
        <f>'Pedidos de Venda'!C123</f>
        <v>0</v>
      </c>
      <c r="C117">
        <f>'Pedidos de Venda'!B123</f>
        <v>0</v>
      </c>
      <c r="D117" s="65" t="e">
        <f>IF(F117&lt;=0, VLOOKUP(C117, [1]Localização!A:R, 18, FALSE), "Em estoque")</f>
        <v>#N/A</v>
      </c>
      <c r="E117" t="e">
        <f>VLOOKUP(Tabela1[[#This Row],[Código (SKU)]],Necessidade!B:P,15,FALSE)</f>
        <v>#N/A</v>
      </c>
      <c r="F117" t="e">
        <f>Tabela1[[#This Row],[Estoque Virtual]]-Tabela1[[#This Row],[Qtd]]</f>
        <v>#N/A</v>
      </c>
      <c r="G117" s="12" t="e">
        <f>IF(OR(Tabela1[[#This Row],[Análise]]="Em estoque",Tabela1[[#This Row],[Análise]]=$V$4),"Atende 7 dias","Atende 30 dias")</f>
        <v>#N/A</v>
      </c>
    </row>
    <row r="118" spans="1:7" x14ac:dyDescent="0.25">
      <c r="A118">
        <f>'Pedidos de Venda'!A124</f>
        <v>0</v>
      </c>
      <c r="B118">
        <f>'Pedidos de Venda'!C124</f>
        <v>0</v>
      </c>
      <c r="C118">
        <f>'Pedidos de Venda'!B124</f>
        <v>0</v>
      </c>
      <c r="D118" s="65" t="e">
        <f>IF(F118&lt;=0, VLOOKUP(C118, [1]Localização!A:R, 18, FALSE), "Em estoque")</f>
        <v>#N/A</v>
      </c>
      <c r="E118" t="e">
        <f>VLOOKUP(Tabela1[[#This Row],[Código (SKU)]],Necessidade!B:P,15,FALSE)</f>
        <v>#N/A</v>
      </c>
      <c r="F118" t="e">
        <f>Tabela1[[#This Row],[Estoque Virtual]]-Tabela1[[#This Row],[Qtd]]</f>
        <v>#N/A</v>
      </c>
      <c r="G118" s="12" t="e">
        <f>IF(OR(Tabela1[[#This Row],[Análise]]="Em estoque",Tabela1[[#This Row],[Análise]]=$V$4),"Atende 7 dias","Atende 30 dias")</f>
        <v>#N/A</v>
      </c>
    </row>
    <row r="119" spans="1:7" x14ac:dyDescent="0.25">
      <c r="A119">
        <f>'Pedidos de Venda'!A125</f>
        <v>0</v>
      </c>
      <c r="B119">
        <f>'Pedidos de Venda'!C125</f>
        <v>0</v>
      </c>
      <c r="C119">
        <f>'Pedidos de Venda'!B125</f>
        <v>0</v>
      </c>
      <c r="D119" s="65" t="e">
        <f>IF(F119&lt;=0, VLOOKUP(C119, [1]Localização!A:R, 18, FALSE), "Em estoque")</f>
        <v>#N/A</v>
      </c>
      <c r="E119" t="e">
        <f>VLOOKUP(Tabela1[[#This Row],[Código (SKU)]],Necessidade!B:P,15,FALSE)</f>
        <v>#N/A</v>
      </c>
      <c r="F119" t="e">
        <f>Tabela1[[#This Row],[Estoque Virtual]]-Tabela1[[#This Row],[Qtd]]</f>
        <v>#N/A</v>
      </c>
      <c r="G119" s="12" t="e">
        <f>IF(OR(Tabela1[[#This Row],[Análise]]="Em estoque",Tabela1[[#This Row],[Análise]]=$V$4),"Atende 7 dias","Atende 30 dias")</f>
        <v>#N/A</v>
      </c>
    </row>
    <row r="120" spans="1:7" x14ac:dyDescent="0.25">
      <c r="A120">
        <f>'Pedidos de Venda'!A126</f>
        <v>0</v>
      </c>
      <c r="B120">
        <f>'Pedidos de Venda'!C126</f>
        <v>0</v>
      </c>
      <c r="C120">
        <f>'Pedidos de Venda'!B126</f>
        <v>0</v>
      </c>
      <c r="D120" s="65" t="e">
        <f>IF(F120&lt;=0, VLOOKUP(C120, [1]Localização!A:R, 18, FALSE), "Em estoque")</f>
        <v>#N/A</v>
      </c>
      <c r="E120" t="e">
        <f>VLOOKUP(Tabela1[[#This Row],[Código (SKU)]],Necessidade!B:P,15,FALSE)</f>
        <v>#N/A</v>
      </c>
      <c r="F120" t="e">
        <f>Tabela1[[#This Row],[Estoque Virtual]]-Tabela1[[#This Row],[Qtd]]</f>
        <v>#N/A</v>
      </c>
      <c r="G120" s="12" t="e">
        <f>IF(OR(Tabela1[[#This Row],[Análise]]="Em estoque",Tabela1[[#This Row],[Análise]]=$V$4),"Atende 7 dias","Atende 30 dias")</f>
        <v>#N/A</v>
      </c>
    </row>
    <row r="121" spans="1:7" x14ac:dyDescent="0.25">
      <c r="A121">
        <f>'Pedidos de Venda'!A127</f>
        <v>0</v>
      </c>
      <c r="B121">
        <f>'Pedidos de Venda'!C127</f>
        <v>0</v>
      </c>
      <c r="C121">
        <f>'Pedidos de Venda'!B127</f>
        <v>0</v>
      </c>
      <c r="D121" s="65" t="e">
        <f>IF(F121&lt;=0, VLOOKUP(C121, [1]Localização!A:R, 18, FALSE), "Em estoque")</f>
        <v>#N/A</v>
      </c>
      <c r="E121" t="e">
        <f>VLOOKUP(Tabela1[[#This Row],[Código (SKU)]],Necessidade!B:P,15,FALSE)</f>
        <v>#N/A</v>
      </c>
      <c r="F121" t="e">
        <f>Tabela1[[#This Row],[Estoque Virtual]]-Tabela1[[#This Row],[Qtd]]</f>
        <v>#N/A</v>
      </c>
      <c r="G121" s="12" t="e">
        <f>IF(OR(Tabela1[[#This Row],[Análise]]="Em estoque",Tabela1[[#This Row],[Análise]]=$V$4),"Atende 7 dias","Atende 30 dias")</f>
        <v>#N/A</v>
      </c>
    </row>
    <row r="122" spans="1:7" x14ac:dyDescent="0.25">
      <c r="A122">
        <f>'Pedidos de Venda'!A128</f>
        <v>0</v>
      </c>
      <c r="B122">
        <f>'Pedidos de Venda'!C128</f>
        <v>0</v>
      </c>
      <c r="C122">
        <f>'Pedidos de Venda'!B128</f>
        <v>0</v>
      </c>
      <c r="D122" s="65" t="e">
        <f>IF(F122&lt;=0, VLOOKUP(C122, [1]Localização!A:R, 18, FALSE), "Em estoque")</f>
        <v>#N/A</v>
      </c>
      <c r="E122" t="e">
        <f>VLOOKUP(Tabela1[[#This Row],[Código (SKU)]],Necessidade!B:P,15,FALSE)</f>
        <v>#N/A</v>
      </c>
      <c r="F122" t="e">
        <f>Tabela1[[#This Row],[Estoque Virtual]]-Tabela1[[#This Row],[Qtd]]</f>
        <v>#N/A</v>
      </c>
      <c r="G122" s="12" t="e">
        <f>IF(OR(Tabela1[[#This Row],[Análise]]="Em estoque",Tabela1[[#This Row],[Análise]]=$V$4),"Atende 7 dias","Atende 30 dias")</f>
        <v>#N/A</v>
      </c>
    </row>
    <row r="123" spans="1:7" x14ac:dyDescent="0.25">
      <c r="A123">
        <f>'Pedidos de Venda'!A129</f>
        <v>0</v>
      </c>
      <c r="B123">
        <f>'Pedidos de Venda'!C129</f>
        <v>0</v>
      </c>
      <c r="C123">
        <f>'Pedidos de Venda'!B129</f>
        <v>0</v>
      </c>
      <c r="D123" s="65" t="e">
        <f>IF(F123&lt;=0, VLOOKUP(C123, [1]Localização!A:R, 18, FALSE), "Em estoque")</f>
        <v>#N/A</v>
      </c>
      <c r="E123" t="e">
        <f>VLOOKUP(Tabela1[[#This Row],[Código (SKU)]],Necessidade!B:P,15,FALSE)</f>
        <v>#N/A</v>
      </c>
      <c r="F123" t="e">
        <f>Tabela1[[#This Row],[Estoque Virtual]]-Tabela1[[#This Row],[Qtd]]</f>
        <v>#N/A</v>
      </c>
      <c r="G123" s="12" t="e">
        <f>IF(OR(Tabela1[[#This Row],[Análise]]="Em estoque",Tabela1[[#This Row],[Análise]]=$V$4),"Atende 7 dias","Atende 30 dias")</f>
        <v>#N/A</v>
      </c>
    </row>
    <row r="124" spans="1:7" x14ac:dyDescent="0.25">
      <c r="A124">
        <f>'Pedidos de Venda'!A130</f>
        <v>0</v>
      </c>
      <c r="B124">
        <f>'Pedidos de Venda'!C130</f>
        <v>0</v>
      </c>
      <c r="C124">
        <f>'Pedidos de Venda'!B130</f>
        <v>0</v>
      </c>
      <c r="D124" s="65" t="e">
        <f>IF(F124&lt;=0, VLOOKUP(C124, [1]Localização!A:R, 18, FALSE), "Em estoque")</f>
        <v>#N/A</v>
      </c>
      <c r="E124" t="e">
        <f>VLOOKUP(Tabela1[[#This Row],[Código (SKU)]],Necessidade!B:P,15,FALSE)</f>
        <v>#N/A</v>
      </c>
      <c r="F124" t="e">
        <f>Tabela1[[#This Row],[Estoque Virtual]]-Tabela1[[#This Row],[Qtd]]</f>
        <v>#N/A</v>
      </c>
      <c r="G124" s="12" t="e">
        <f>IF(OR(Tabela1[[#This Row],[Análise]]="Em estoque",Tabela1[[#This Row],[Análise]]=$V$4),"Atende 7 dias","Atende 30 dias")</f>
        <v>#N/A</v>
      </c>
    </row>
    <row r="125" spans="1:7" x14ac:dyDescent="0.25">
      <c r="A125">
        <f>'Pedidos de Venda'!A131</f>
        <v>0</v>
      </c>
      <c r="B125">
        <f>'Pedidos de Venda'!C131</f>
        <v>0</v>
      </c>
      <c r="C125">
        <f>'Pedidos de Venda'!B131</f>
        <v>0</v>
      </c>
      <c r="D125" s="65" t="e">
        <f>IF(F125&lt;=0, VLOOKUP(C125, [1]Localização!A:R, 18, FALSE), "Em estoque")</f>
        <v>#N/A</v>
      </c>
      <c r="E125" t="e">
        <f>VLOOKUP(Tabela1[[#This Row],[Código (SKU)]],Necessidade!B:P,15,FALSE)</f>
        <v>#N/A</v>
      </c>
      <c r="F125" t="e">
        <f>Tabela1[[#This Row],[Estoque Virtual]]-Tabela1[[#This Row],[Qtd]]</f>
        <v>#N/A</v>
      </c>
      <c r="G125" s="12" t="e">
        <f>IF(OR(Tabela1[[#This Row],[Análise]]="Em estoque",Tabela1[[#This Row],[Análise]]=$V$4),"Atende 7 dias","Atende 30 dias")</f>
        <v>#N/A</v>
      </c>
    </row>
    <row r="126" spans="1:7" x14ac:dyDescent="0.25">
      <c r="A126">
        <f>'Pedidos de Venda'!A132</f>
        <v>0</v>
      </c>
      <c r="B126">
        <f>'Pedidos de Venda'!C132</f>
        <v>0</v>
      </c>
      <c r="C126">
        <f>'Pedidos de Venda'!B132</f>
        <v>0</v>
      </c>
      <c r="D126" s="65" t="e">
        <f>IF(F126&lt;=0, VLOOKUP(C126, [1]Localização!A:R, 18, FALSE), "Em estoque")</f>
        <v>#N/A</v>
      </c>
      <c r="E126" t="e">
        <f>VLOOKUP(Tabela1[[#This Row],[Código (SKU)]],Necessidade!B:P,15,FALSE)</f>
        <v>#N/A</v>
      </c>
      <c r="F126" t="e">
        <f>Tabela1[[#This Row],[Estoque Virtual]]-Tabela1[[#This Row],[Qtd]]</f>
        <v>#N/A</v>
      </c>
      <c r="G126" s="12" t="e">
        <f>IF(OR(Tabela1[[#This Row],[Análise]]="Em estoque",Tabela1[[#This Row],[Análise]]=$V$4),"Atende 7 dias","Atende 30 dias")</f>
        <v>#N/A</v>
      </c>
    </row>
    <row r="127" spans="1:7" x14ac:dyDescent="0.25">
      <c r="A127">
        <f>'Pedidos de Venda'!A133</f>
        <v>0</v>
      </c>
      <c r="B127">
        <f>'Pedidos de Venda'!C133</f>
        <v>0</v>
      </c>
      <c r="C127">
        <f>'Pedidos de Venda'!B133</f>
        <v>0</v>
      </c>
      <c r="D127" s="65" t="e">
        <f>IF(F127&lt;=0, VLOOKUP(C127, [1]Localização!A:R, 18, FALSE), "Em estoque")</f>
        <v>#N/A</v>
      </c>
      <c r="E127" t="e">
        <f>VLOOKUP(Tabela1[[#This Row],[Código (SKU)]],Necessidade!B:P,15,FALSE)</f>
        <v>#N/A</v>
      </c>
      <c r="F127" t="e">
        <f>Tabela1[[#This Row],[Estoque Virtual]]-Tabela1[[#This Row],[Qtd]]</f>
        <v>#N/A</v>
      </c>
      <c r="G127" s="12" t="e">
        <f>IF(OR(Tabela1[[#This Row],[Análise]]="Em estoque",Tabela1[[#This Row],[Análise]]=$V$4),"Atende 7 dias","Atende 30 dias")</f>
        <v>#N/A</v>
      </c>
    </row>
    <row r="128" spans="1:7" x14ac:dyDescent="0.25">
      <c r="A128">
        <f>'Pedidos de Venda'!A134</f>
        <v>0</v>
      </c>
      <c r="B128">
        <f>'Pedidos de Venda'!C134</f>
        <v>0</v>
      </c>
      <c r="C128">
        <f>'Pedidos de Venda'!B134</f>
        <v>0</v>
      </c>
      <c r="D128" s="65" t="e">
        <f>IF(F128&lt;=0, VLOOKUP(C128, [1]Localização!A:R, 18, FALSE), "Em estoque")</f>
        <v>#N/A</v>
      </c>
      <c r="E128" t="e">
        <f>VLOOKUP(Tabela1[[#This Row],[Código (SKU)]],Necessidade!B:P,15,FALSE)</f>
        <v>#N/A</v>
      </c>
      <c r="F128" t="e">
        <f>Tabela1[[#This Row],[Estoque Virtual]]-Tabela1[[#This Row],[Qtd]]</f>
        <v>#N/A</v>
      </c>
      <c r="G128" s="12" t="e">
        <f>IF(OR(Tabela1[[#This Row],[Análise]]="Em estoque",Tabela1[[#This Row],[Análise]]=$V$4),"Atende 7 dias","Atende 30 dias")</f>
        <v>#N/A</v>
      </c>
    </row>
    <row r="129" spans="1:7" x14ac:dyDescent="0.25">
      <c r="A129">
        <f>'Pedidos de Venda'!A135</f>
        <v>0</v>
      </c>
      <c r="B129">
        <f>'Pedidos de Venda'!C135</f>
        <v>0</v>
      </c>
      <c r="C129">
        <f>'Pedidos de Venda'!B135</f>
        <v>0</v>
      </c>
      <c r="D129" s="65" t="e">
        <f>IF(F129&lt;=0, VLOOKUP(C129, [1]Localização!A:R, 18, FALSE), "Em estoque")</f>
        <v>#N/A</v>
      </c>
      <c r="E129" t="e">
        <f>VLOOKUP(Tabela1[[#This Row],[Código (SKU)]],Necessidade!B:P,15,FALSE)</f>
        <v>#N/A</v>
      </c>
      <c r="F129" t="e">
        <f>Tabela1[[#This Row],[Estoque Virtual]]-Tabela1[[#This Row],[Qtd]]</f>
        <v>#N/A</v>
      </c>
      <c r="G129" s="12" t="e">
        <f>IF(OR(Tabela1[[#This Row],[Análise]]="Em estoque",Tabela1[[#This Row],[Análise]]=$V$4),"Atende 7 dias","Atende 30 dias")</f>
        <v>#N/A</v>
      </c>
    </row>
    <row r="130" spans="1:7" x14ac:dyDescent="0.25">
      <c r="A130">
        <f>'Pedidos de Venda'!A136</f>
        <v>0</v>
      </c>
      <c r="B130">
        <f>'Pedidos de Venda'!C136</f>
        <v>0</v>
      </c>
      <c r="C130">
        <f>'Pedidos de Venda'!B136</f>
        <v>0</v>
      </c>
      <c r="D130" s="65" t="e">
        <f>IF(F130&lt;=0, VLOOKUP(C130, [1]Localização!A:R, 18, FALSE), "Em estoque")</f>
        <v>#N/A</v>
      </c>
      <c r="E130" t="e">
        <f>VLOOKUP(Tabela1[[#This Row],[Código (SKU)]],Necessidade!B:P,15,FALSE)</f>
        <v>#N/A</v>
      </c>
      <c r="F130" t="e">
        <f>Tabela1[[#This Row],[Estoque Virtual]]-Tabela1[[#This Row],[Qtd]]</f>
        <v>#N/A</v>
      </c>
      <c r="G130" s="12" t="e">
        <f>IF(OR(Tabela1[[#This Row],[Análise]]="Em estoque",Tabela1[[#This Row],[Análise]]=$V$4),"Atende 7 dias","Atende 30 dias")</f>
        <v>#N/A</v>
      </c>
    </row>
    <row r="131" spans="1:7" x14ac:dyDescent="0.25">
      <c r="A131">
        <f>'Pedidos de Venda'!A137</f>
        <v>0</v>
      </c>
      <c r="B131">
        <f>'Pedidos de Venda'!C137</f>
        <v>0</v>
      </c>
      <c r="C131">
        <f>'Pedidos de Venda'!B137</f>
        <v>0</v>
      </c>
      <c r="D131" s="65" t="e">
        <f>IF(F131&lt;=0, VLOOKUP(C131, [1]Localização!A:R, 18, FALSE), "Em estoque")</f>
        <v>#N/A</v>
      </c>
      <c r="E131" t="e">
        <f>VLOOKUP(Tabela1[[#This Row],[Código (SKU)]],Necessidade!B:P,15,FALSE)</f>
        <v>#N/A</v>
      </c>
      <c r="F131" t="e">
        <f>Tabela1[[#This Row],[Estoque Virtual]]-Tabela1[[#This Row],[Qtd]]</f>
        <v>#N/A</v>
      </c>
      <c r="G131" s="12" t="e">
        <f>IF(OR(Tabela1[[#This Row],[Análise]]="Em estoque",Tabela1[[#This Row],[Análise]]=$V$4),"Atende 7 dias","Atende 30 dias")</f>
        <v>#N/A</v>
      </c>
    </row>
    <row r="132" spans="1:7" x14ac:dyDescent="0.25">
      <c r="A132">
        <f>'Pedidos de Venda'!A138</f>
        <v>0</v>
      </c>
      <c r="B132">
        <f>'Pedidos de Venda'!C138</f>
        <v>0</v>
      </c>
      <c r="C132">
        <f>'Pedidos de Venda'!B138</f>
        <v>0</v>
      </c>
      <c r="D132" s="65" t="e">
        <f>IF(F132&lt;=0, VLOOKUP(C132, [1]Localização!A:R, 18, FALSE), "Em estoque")</f>
        <v>#N/A</v>
      </c>
      <c r="E132" t="e">
        <f>VLOOKUP(Tabela1[[#This Row],[Código (SKU)]],Necessidade!B:P,15,FALSE)</f>
        <v>#N/A</v>
      </c>
      <c r="F132" t="e">
        <f>Tabela1[[#This Row],[Estoque Virtual]]-Tabela1[[#This Row],[Qtd]]</f>
        <v>#N/A</v>
      </c>
      <c r="G132" s="12" t="e">
        <f>IF(OR(Tabela1[[#This Row],[Análise]]="Em estoque",Tabela1[[#This Row],[Análise]]=$V$4),"Atende 7 dias","Atende 30 dias")</f>
        <v>#N/A</v>
      </c>
    </row>
    <row r="133" spans="1:7" x14ac:dyDescent="0.25">
      <c r="A133">
        <f>'Pedidos de Venda'!A139</f>
        <v>0</v>
      </c>
      <c r="B133">
        <f>'Pedidos de Venda'!C139</f>
        <v>0</v>
      </c>
      <c r="C133">
        <f>'Pedidos de Venda'!B139</f>
        <v>0</v>
      </c>
      <c r="D133" s="65" t="e">
        <f>IF(F133&lt;=0, VLOOKUP(C133, [1]Localização!A:R, 18, FALSE), "Em estoque")</f>
        <v>#N/A</v>
      </c>
      <c r="E133" t="e">
        <f>VLOOKUP(Tabela1[[#This Row],[Código (SKU)]],Necessidade!B:P,15,FALSE)</f>
        <v>#N/A</v>
      </c>
      <c r="F133" t="e">
        <f>Tabela1[[#This Row],[Estoque Virtual]]-Tabela1[[#This Row],[Qtd]]</f>
        <v>#N/A</v>
      </c>
      <c r="G133" s="12" t="e">
        <f>IF(OR(Tabela1[[#This Row],[Análise]]="Em estoque",Tabela1[[#This Row],[Análise]]=$V$4),"Atende 7 dias","Atende 30 dias")</f>
        <v>#N/A</v>
      </c>
    </row>
    <row r="134" spans="1:7" x14ac:dyDescent="0.25">
      <c r="A134">
        <f>'Pedidos de Venda'!A140</f>
        <v>0</v>
      </c>
      <c r="B134">
        <f>'Pedidos de Venda'!C140</f>
        <v>0</v>
      </c>
      <c r="C134">
        <f>'Pedidos de Venda'!B140</f>
        <v>0</v>
      </c>
      <c r="D134" s="65" t="e">
        <f>IF(F134&lt;=0, VLOOKUP(C134, [1]Localização!A:R, 18, FALSE), "Em estoque")</f>
        <v>#N/A</v>
      </c>
      <c r="E134" t="e">
        <f>VLOOKUP(Tabela1[[#This Row],[Código (SKU)]],Necessidade!B:P,15,FALSE)</f>
        <v>#N/A</v>
      </c>
      <c r="F134" t="e">
        <f>Tabela1[[#This Row],[Estoque Virtual]]-Tabela1[[#This Row],[Qtd]]</f>
        <v>#N/A</v>
      </c>
      <c r="G134" s="12" t="e">
        <f>IF(OR(Tabela1[[#This Row],[Análise]]="Em estoque",Tabela1[[#This Row],[Análise]]=$V$4),"Atende 7 dias","Atende 30 dias")</f>
        <v>#N/A</v>
      </c>
    </row>
    <row r="135" spans="1:7" x14ac:dyDescent="0.25">
      <c r="A135">
        <f>'Pedidos de Venda'!A141</f>
        <v>0</v>
      </c>
      <c r="B135">
        <f>'Pedidos de Venda'!C141</f>
        <v>0</v>
      </c>
      <c r="C135">
        <f>'Pedidos de Venda'!B141</f>
        <v>0</v>
      </c>
      <c r="D135" s="65" t="e">
        <f>IF(F135&lt;=0, VLOOKUP(C135, [1]Localização!A:R, 18, FALSE), "Em estoque")</f>
        <v>#N/A</v>
      </c>
      <c r="E135" t="e">
        <f>VLOOKUP(Tabela1[[#This Row],[Código (SKU)]],Necessidade!B:P,15,FALSE)</f>
        <v>#N/A</v>
      </c>
      <c r="F135" t="e">
        <f>Tabela1[[#This Row],[Estoque Virtual]]-Tabela1[[#This Row],[Qtd]]</f>
        <v>#N/A</v>
      </c>
      <c r="G135" s="12" t="e">
        <f>IF(OR(Tabela1[[#This Row],[Análise]]="Em estoque",Tabela1[[#This Row],[Análise]]=$V$4),"Atende 7 dias","Atende 30 dias")</f>
        <v>#N/A</v>
      </c>
    </row>
    <row r="136" spans="1:7" x14ac:dyDescent="0.25">
      <c r="A136">
        <f>'Pedidos de Venda'!A142</f>
        <v>0</v>
      </c>
      <c r="B136">
        <f>'Pedidos de Venda'!C142</f>
        <v>0</v>
      </c>
      <c r="C136">
        <f>'Pedidos de Venda'!B142</f>
        <v>0</v>
      </c>
      <c r="D136" s="65" t="e">
        <f>IF(F136&lt;=0, VLOOKUP(C136, [1]Localização!A:R, 18, FALSE), "Em estoque")</f>
        <v>#N/A</v>
      </c>
      <c r="E136" t="e">
        <f>VLOOKUP(Tabela1[[#This Row],[Código (SKU)]],Necessidade!B:P,15,FALSE)</f>
        <v>#N/A</v>
      </c>
      <c r="F136" t="e">
        <f>Tabela1[[#This Row],[Estoque Virtual]]-Tabela1[[#This Row],[Qtd]]</f>
        <v>#N/A</v>
      </c>
      <c r="G136" s="12" t="e">
        <f>IF(OR(Tabela1[[#This Row],[Análise]]="Em estoque",Tabela1[[#This Row],[Análise]]=$V$4),"Atende 7 dias","Atende 30 dias")</f>
        <v>#N/A</v>
      </c>
    </row>
    <row r="137" spans="1:7" x14ac:dyDescent="0.25">
      <c r="A137">
        <f>'Pedidos de Venda'!A143</f>
        <v>0</v>
      </c>
      <c r="B137">
        <f>'Pedidos de Venda'!C143</f>
        <v>0</v>
      </c>
      <c r="C137">
        <f>'Pedidos de Venda'!B143</f>
        <v>0</v>
      </c>
      <c r="D137" s="65" t="e">
        <f>IF(F137&lt;=0, VLOOKUP(C137, [1]Localização!A:R, 18, FALSE), "Em estoque")</f>
        <v>#N/A</v>
      </c>
      <c r="E137" t="e">
        <f>VLOOKUP(Tabela1[[#This Row],[Código (SKU)]],Necessidade!B:P,15,FALSE)</f>
        <v>#N/A</v>
      </c>
      <c r="F137" t="e">
        <f>Tabela1[[#This Row],[Estoque Virtual]]-Tabela1[[#This Row],[Qtd]]</f>
        <v>#N/A</v>
      </c>
      <c r="G137" s="12" t="e">
        <f>IF(OR(Tabela1[[#This Row],[Análise]]="Em estoque",Tabela1[[#This Row],[Análise]]=$V$4),"Atende 7 dias","Atende 30 dias")</f>
        <v>#N/A</v>
      </c>
    </row>
    <row r="138" spans="1:7" x14ac:dyDescent="0.25">
      <c r="A138">
        <f>'Pedidos de Venda'!A144</f>
        <v>0</v>
      </c>
      <c r="B138">
        <f>'Pedidos de Venda'!C144</f>
        <v>0</v>
      </c>
      <c r="C138">
        <f>'Pedidos de Venda'!B144</f>
        <v>0</v>
      </c>
      <c r="D138" s="65" t="e">
        <f>IF(F138&lt;=0, VLOOKUP(C138, [1]Localização!A:R, 18, FALSE), "Em estoque")</f>
        <v>#N/A</v>
      </c>
      <c r="E138" t="e">
        <f>VLOOKUP(Tabela1[[#This Row],[Código (SKU)]],Necessidade!B:P,15,FALSE)</f>
        <v>#N/A</v>
      </c>
      <c r="F138" t="e">
        <f>Tabela1[[#This Row],[Estoque Virtual]]-Tabela1[[#This Row],[Qtd]]</f>
        <v>#N/A</v>
      </c>
      <c r="G138" s="12" t="e">
        <f>IF(OR(Tabela1[[#This Row],[Análise]]="Em estoque",Tabela1[[#This Row],[Análise]]=$V$4),"Atende 7 dias","Atende 30 dias")</f>
        <v>#N/A</v>
      </c>
    </row>
    <row r="139" spans="1:7" x14ac:dyDescent="0.25">
      <c r="A139">
        <f>'Pedidos de Venda'!A145</f>
        <v>0</v>
      </c>
      <c r="B139">
        <f>'Pedidos de Venda'!C145</f>
        <v>0</v>
      </c>
      <c r="C139">
        <f>'Pedidos de Venda'!B145</f>
        <v>0</v>
      </c>
      <c r="D139" s="65" t="e">
        <f>IF(F139&lt;=0, VLOOKUP(C139, [1]Localização!A:R, 18, FALSE), "Em estoque")</f>
        <v>#N/A</v>
      </c>
      <c r="E139" t="e">
        <f>VLOOKUP(Tabela1[[#This Row],[Código (SKU)]],Necessidade!B:P,15,FALSE)</f>
        <v>#N/A</v>
      </c>
      <c r="F139" t="e">
        <f>Tabela1[[#This Row],[Estoque Virtual]]-Tabela1[[#This Row],[Qtd]]</f>
        <v>#N/A</v>
      </c>
      <c r="G139" s="12" t="e">
        <f>IF(OR(Tabela1[[#This Row],[Análise]]="Em estoque",Tabela1[[#This Row],[Análise]]=$V$4),"Atende 7 dias","Atende 30 dias")</f>
        <v>#N/A</v>
      </c>
    </row>
    <row r="140" spans="1:7" x14ac:dyDescent="0.25">
      <c r="A140">
        <f>'Pedidos de Venda'!A146</f>
        <v>0</v>
      </c>
      <c r="B140">
        <f>'Pedidos de Venda'!C146</f>
        <v>0</v>
      </c>
      <c r="C140">
        <f>'Pedidos de Venda'!B146</f>
        <v>0</v>
      </c>
      <c r="D140" s="65" t="e">
        <f>IF(F140&lt;=0, VLOOKUP(C140, [1]Localização!A:R, 18, FALSE), "Em estoque")</f>
        <v>#N/A</v>
      </c>
      <c r="E140" t="e">
        <f>VLOOKUP(Tabela1[[#This Row],[Código (SKU)]],Necessidade!B:P,15,FALSE)</f>
        <v>#N/A</v>
      </c>
      <c r="F140" t="e">
        <f>Tabela1[[#This Row],[Estoque Virtual]]-Tabela1[[#This Row],[Qtd]]</f>
        <v>#N/A</v>
      </c>
      <c r="G140" s="12" t="e">
        <f>IF(OR(Tabela1[[#This Row],[Análise]]="Em estoque",Tabela1[[#This Row],[Análise]]=$V$4),"Atende 7 dias","Atende 30 dias")</f>
        <v>#N/A</v>
      </c>
    </row>
    <row r="141" spans="1:7" x14ac:dyDescent="0.25">
      <c r="A141">
        <f>'Pedidos de Venda'!A147</f>
        <v>0</v>
      </c>
      <c r="B141">
        <f>'Pedidos de Venda'!C147</f>
        <v>0</v>
      </c>
      <c r="C141">
        <f>'Pedidos de Venda'!B147</f>
        <v>0</v>
      </c>
      <c r="D141" s="65" t="e">
        <f>IF(F141&lt;=0, VLOOKUP(C141, [1]Localização!A:R, 18, FALSE), "Em estoque")</f>
        <v>#N/A</v>
      </c>
      <c r="E141" t="e">
        <f>VLOOKUP(Tabela1[[#This Row],[Código (SKU)]],Necessidade!B:P,15,FALSE)</f>
        <v>#N/A</v>
      </c>
      <c r="F141" t="e">
        <f>Tabela1[[#This Row],[Estoque Virtual]]-Tabela1[[#This Row],[Qtd]]</f>
        <v>#N/A</v>
      </c>
      <c r="G141" s="12" t="e">
        <f>IF(OR(Tabela1[[#This Row],[Análise]]="Em estoque",Tabela1[[#This Row],[Análise]]=$V$4),"Atende 7 dias","Atende 30 dias")</f>
        <v>#N/A</v>
      </c>
    </row>
    <row r="142" spans="1:7" x14ac:dyDescent="0.25">
      <c r="A142">
        <f>'Pedidos de Venda'!A148</f>
        <v>0</v>
      </c>
      <c r="B142">
        <f>'Pedidos de Venda'!C148</f>
        <v>0</v>
      </c>
      <c r="C142">
        <f>'Pedidos de Venda'!B148</f>
        <v>0</v>
      </c>
      <c r="D142" s="65" t="e">
        <f>IF(F142&lt;=0, VLOOKUP(C142, [1]Localização!A:R, 18, FALSE), "Em estoque")</f>
        <v>#N/A</v>
      </c>
      <c r="E142" t="e">
        <f>VLOOKUP(Tabela1[[#This Row],[Código (SKU)]],Necessidade!B:P,15,FALSE)</f>
        <v>#N/A</v>
      </c>
      <c r="F142" t="e">
        <f>Tabela1[[#This Row],[Estoque Virtual]]-Tabela1[[#This Row],[Qtd]]</f>
        <v>#N/A</v>
      </c>
      <c r="G142" s="12" t="e">
        <f>IF(OR(Tabela1[[#This Row],[Análise]]="Em estoque",Tabela1[[#This Row],[Análise]]=$V$4),"Atende 7 dias","Atende 30 dias")</f>
        <v>#N/A</v>
      </c>
    </row>
    <row r="143" spans="1:7" x14ac:dyDescent="0.25">
      <c r="A143">
        <f>'Pedidos de Venda'!A149</f>
        <v>0</v>
      </c>
      <c r="B143">
        <f>'Pedidos de Venda'!C149</f>
        <v>0</v>
      </c>
      <c r="C143">
        <f>'Pedidos de Venda'!B149</f>
        <v>0</v>
      </c>
      <c r="D143" s="65" t="e">
        <f>IF(F143&lt;=0, VLOOKUP(C143, [1]Localização!A:R, 18, FALSE), "Em estoque")</f>
        <v>#N/A</v>
      </c>
      <c r="E143" t="e">
        <f>VLOOKUP(Tabela1[[#This Row],[Código (SKU)]],Necessidade!B:P,15,FALSE)</f>
        <v>#N/A</v>
      </c>
      <c r="F143" t="e">
        <f>Tabela1[[#This Row],[Estoque Virtual]]-Tabela1[[#This Row],[Qtd]]</f>
        <v>#N/A</v>
      </c>
      <c r="G143" s="12" t="e">
        <f>IF(OR(Tabela1[[#This Row],[Análise]]="Em estoque",Tabela1[[#This Row],[Análise]]=$V$4),"Atende 7 dias","Atende 30 dias")</f>
        <v>#N/A</v>
      </c>
    </row>
    <row r="144" spans="1:7" x14ac:dyDescent="0.25">
      <c r="A144">
        <f>'Pedidos de Venda'!A150</f>
        <v>0</v>
      </c>
      <c r="B144">
        <f>'Pedidos de Venda'!C150</f>
        <v>0</v>
      </c>
      <c r="C144">
        <f>'Pedidos de Venda'!B150</f>
        <v>0</v>
      </c>
      <c r="D144" s="65" t="e">
        <f>IF(F144&lt;=0, VLOOKUP(C144, [1]Localização!A:R, 18, FALSE), "Em estoque")</f>
        <v>#N/A</v>
      </c>
      <c r="E144" t="e">
        <f>VLOOKUP(Tabela1[[#This Row],[Código (SKU)]],Necessidade!B:P,15,FALSE)</f>
        <v>#N/A</v>
      </c>
      <c r="F144" t="e">
        <f>Tabela1[[#This Row],[Estoque Virtual]]-Tabela1[[#This Row],[Qtd]]</f>
        <v>#N/A</v>
      </c>
      <c r="G144" s="12" t="e">
        <f>IF(OR(Tabela1[[#This Row],[Análise]]="Em estoque",Tabela1[[#This Row],[Análise]]=$V$4),"Atende 7 dias","Atende 30 dias")</f>
        <v>#N/A</v>
      </c>
    </row>
    <row r="145" spans="1:7" x14ac:dyDescent="0.25">
      <c r="A145">
        <f>'Pedidos de Venda'!A151</f>
        <v>0</v>
      </c>
      <c r="B145">
        <f>'Pedidos de Venda'!C151</f>
        <v>0</v>
      </c>
      <c r="C145">
        <f>'Pedidos de Venda'!B151</f>
        <v>0</v>
      </c>
      <c r="D145" s="65" t="e">
        <f>IF(F145&lt;=0, VLOOKUP(C145, [1]Localização!A:R, 18, FALSE), "Em estoque")</f>
        <v>#N/A</v>
      </c>
      <c r="E145" t="e">
        <f>VLOOKUP(Tabela1[[#This Row],[Código (SKU)]],Necessidade!B:P,15,FALSE)</f>
        <v>#N/A</v>
      </c>
      <c r="F145" t="e">
        <f>Tabela1[[#This Row],[Estoque Virtual]]-Tabela1[[#This Row],[Qtd]]</f>
        <v>#N/A</v>
      </c>
      <c r="G145" s="12" t="e">
        <f>IF(OR(Tabela1[[#This Row],[Análise]]="Em estoque",Tabela1[[#This Row],[Análise]]=$V$4),"Atende 7 dias","Atende 30 dias")</f>
        <v>#N/A</v>
      </c>
    </row>
    <row r="146" spans="1:7" x14ac:dyDescent="0.25">
      <c r="A146">
        <f>'Pedidos de Venda'!A152</f>
        <v>0</v>
      </c>
      <c r="B146">
        <f>'Pedidos de Venda'!C152</f>
        <v>0</v>
      </c>
      <c r="C146">
        <f>'Pedidos de Venda'!B152</f>
        <v>0</v>
      </c>
      <c r="D146" s="65" t="e">
        <f>IF(F146&lt;=0, VLOOKUP(C146, [1]Localização!A:R, 18, FALSE), "Em estoque")</f>
        <v>#N/A</v>
      </c>
      <c r="E146" t="e">
        <f>VLOOKUP(Tabela1[[#This Row],[Código (SKU)]],Necessidade!B:P,15,FALSE)</f>
        <v>#N/A</v>
      </c>
      <c r="F146" t="e">
        <f>Tabela1[[#This Row],[Estoque Virtual]]-Tabela1[[#This Row],[Qtd]]</f>
        <v>#N/A</v>
      </c>
      <c r="G146" s="12" t="e">
        <f>IF(OR(Tabela1[[#This Row],[Análise]]="Em estoque",Tabela1[[#This Row],[Análise]]=$V$4),"Atende 7 dias","Atende 30 dias")</f>
        <v>#N/A</v>
      </c>
    </row>
    <row r="147" spans="1:7" x14ac:dyDescent="0.25">
      <c r="A147">
        <f>'Pedidos de Venda'!A153</f>
        <v>0</v>
      </c>
      <c r="B147">
        <f>'Pedidos de Venda'!C153</f>
        <v>0</v>
      </c>
      <c r="C147">
        <f>'Pedidos de Venda'!B153</f>
        <v>0</v>
      </c>
      <c r="D147" s="65" t="e">
        <f>IF(F147&lt;=0, VLOOKUP(C147, [1]Localização!A:R, 18, FALSE), "Em estoque")</f>
        <v>#N/A</v>
      </c>
      <c r="E147" t="e">
        <f>VLOOKUP(Tabela1[[#This Row],[Código (SKU)]],Necessidade!B:P,15,FALSE)</f>
        <v>#N/A</v>
      </c>
      <c r="F147" t="e">
        <f>Tabela1[[#This Row],[Estoque Virtual]]-Tabela1[[#This Row],[Qtd]]</f>
        <v>#N/A</v>
      </c>
      <c r="G147" s="12" t="e">
        <f>IF(OR(Tabela1[[#This Row],[Análise]]="Em estoque",Tabela1[[#This Row],[Análise]]=$V$4),"Atende 7 dias","Atende 30 dias")</f>
        <v>#N/A</v>
      </c>
    </row>
    <row r="148" spans="1:7" x14ac:dyDescent="0.25">
      <c r="A148">
        <f>'Pedidos de Venda'!A154</f>
        <v>0</v>
      </c>
      <c r="B148">
        <f>'Pedidos de Venda'!C154</f>
        <v>0</v>
      </c>
      <c r="C148">
        <f>'Pedidos de Venda'!B154</f>
        <v>0</v>
      </c>
      <c r="D148" s="65" t="e">
        <f>IF(F148&lt;=0, VLOOKUP(C148, [1]Localização!A:R, 18, FALSE), "Em estoque")</f>
        <v>#N/A</v>
      </c>
      <c r="E148" t="e">
        <f>VLOOKUP(Tabela1[[#This Row],[Código (SKU)]],Necessidade!B:P,15,FALSE)</f>
        <v>#N/A</v>
      </c>
      <c r="F148" t="e">
        <f>Tabela1[[#This Row],[Estoque Virtual]]-Tabela1[[#This Row],[Qtd]]</f>
        <v>#N/A</v>
      </c>
      <c r="G148" s="12" t="e">
        <f>IF(OR(Tabela1[[#This Row],[Análise]]="Em estoque",Tabela1[[#This Row],[Análise]]=$V$4),"Atende 7 dias","Atende 30 dias")</f>
        <v>#N/A</v>
      </c>
    </row>
    <row r="149" spans="1:7" x14ac:dyDescent="0.25">
      <c r="A149">
        <f>'Pedidos de Venda'!A155</f>
        <v>0</v>
      </c>
      <c r="B149">
        <f>'Pedidos de Venda'!C155</f>
        <v>0</v>
      </c>
      <c r="C149">
        <f>'Pedidos de Venda'!B155</f>
        <v>0</v>
      </c>
      <c r="D149" s="65" t="e">
        <f>IF(F149&lt;=0, VLOOKUP(C149, [1]Localização!A:R, 18, FALSE), "Em estoque")</f>
        <v>#N/A</v>
      </c>
      <c r="E149" t="e">
        <f>VLOOKUP(Tabela1[[#This Row],[Código (SKU)]],Necessidade!B:P,15,FALSE)</f>
        <v>#N/A</v>
      </c>
      <c r="F149" t="e">
        <f>Tabela1[[#This Row],[Estoque Virtual]]-Tabela1[[#This Row],[Qtd]]</f>
        <v>#N/A</v>
      </c>
      <c r="G149" s="12" t="e">
        <f>IF(OR(Tabela1[[#This Row],[Análise]]="Em estoque",Tabela1[[#This Row],[Análise]]=$V$4),"Atende 7 dias","Atende 30 dias")</f>
        <v>#N/A</v>
      </c>
    </row>
    <row r="150" spans="1:7" x14ac:dyDescent="0.25">
      <c r="A150">
        <f>'Pedidos de Venda'!A156</f>
        <v>0</v>
      </c>
      <c r="B150">
        <f>'Pedidos de Venda'!C156</f>
        <v>0</v>
      </c>
      <c r="C150">
        <f>'Pedidos de Venda'!B156</f>
        <v>0</v>
      </c>
      <c r="D150" s="65" t="e">
        <f>IF(F150&lt;=0, VLOOKUP(C150, [1]Localização!A:R, 18, FALSE), "Em estoque")</f>
        <v>#N/A</v>
      </c>
      <c r="E150" t="e">
        <f>VLOOKUP(Tabela1[[#This Row],[Código (SKU)]],Necessidade!B:P,15,FALSE)</f>
        <v>#N/A</v>
      </c>
      <c r="F150" t="e">
        <f>Tabela1[[#This Row],[Estoque Virtual]]-Tabela1[[#This Row],[Qtd]]</f>
        <v>#N/A</v>
      </c>
      <c r="G150" s="12" t="e">
        <f>IF(OR(Tabela1[[#This Row],[Análise]]="Em estoque",Tabela1[[#This Row],[Análise]]=$V$4),"Atende 7 dias","Atende 30 dias")</f>
        <v>#N/A</v>
      </c>
    </row>
    <row r="151" spans="1:7" x14ac:dyDescent="0.25">
      <c r="A151">
        <f>'Pedidos de Venda'!A157</f>
        <v>0</v>
      </c>
      <c r="B151">
        <f>'Pedidos de Venda'!C157</f>
        <v>0</v>
      </c>
      <c r="C151">
        <f>'Pedidos de Venda'!B157</f>
        <v>0</v>
      </c>
      <c r="D151" s="65" t="e">
        <f>IF(F151&lt;=0, VLOOKUP(C151, [1]Localização!A:R, 18, FALSE), "Em estoque")</f>
        <v>#N/A</v>
      </c>
      <c r="E151" t="e">
        <f>VLOOKUP(Tabela1[[#This Row],[Código (SKU)]],Necessidade!B:P,15,FALSE)</f>
        <v>#N/A</v>
      </c>
      <c r="F151" t="e">
        <f>Tabela1[[#This Row],[Estoque Virtual]]-Tabela1[[#This Row],[Qtd]]</f>
        <v>#N/A</v>
      </c>
      <c r="G151" s="12" t="e">
        <f>IF(OR(Tabela1[[#This Row],[Análise]]="Em estoque",Tabela1[[#This Row],[Análise]]=$V$4),"Atende 7 dias","Atende 30 dias")</f>
        <v>#N/A</v>
      </c>
    </row>
    <row r="152" spans="1:7" x14ac:dyDescent="0.25">
      <c r="A152">
        <f>'Pedidos de Venda'!A158</f>
        <v>0</v>
      </c>
      <c r="B152">
        <f>'Pedidos de Venda'!C158</f>
        <v>0</v>
      </c>
      <c r="C152">
        <f>'Pedidos de Venda'!B158</f>
        <v>0</v>
      </c>
      <c r="D152" s="65" t="e">
        <f>IF(F152&lt;=0, VLOOKUP(C152, [1]Localização!A:R, 18, FALSE), "Em estoque")</f>
        <v>#N/A</v>
      </c>
      <c r="E152" t="e">
        <f>VLOOKUP(Tabela1[[#This Row],[Código (SKU)]],Necessidade!B:P,15,FALSE)</f>
        <v>#N/A</v>
      </c>
      <c r="F152" t="e">
        <f>Tabela1[[#This Row],[Estoque Virtual]]-Tabela1[[#This Row],[Qtd]]</f>
        <v>#N/A</v>
      </c>
      <c r="G152" s="12" t="e">
        <f>IF(OR(Tabela1[[#This Row],[Análise]]="Em estoque",Tabela1[[#This Row],[Análise]]=$V$4),"Atende 7 dias","Atende 30 dias")</f>
        <v>#N/A</v>
      </c>
    </row>
    <row r="153" spans="1:7" x14ac:dyDescent="0.25">
      <c r="A153">
        <f>'Pedidos de Venda'!A159</f>
        <v>0</v>
      </c>
      <c r="B153">
        <f>'Pedidos de Venda'!C159</f>
        <v>0</v>
      </c>
      <c r="C153">
        <f>'Pedidos de Venda'!B159</f>
        <v>0</v>
      </c>
      <c r="D153" s="65" t="e">
        <f>IF(F153&lt;=0, VLOOKUP(C153, [1]Localização!A:R, 18, FALSE), "Em estoque")</f>
        <v>#N/A</v>
      </c>
      <c r="E153" t="e">
        <f>VLOOKUP(Tabela1[[#This Row],[Código (SKU)]],Necessidade!B:P,15,FALSE)</f>
        <v>#N/A</v>
      </c>
      <c r="F153" t="e">
        <f>Tabela1[[#This Row],[Estoque Virtual]]-Tabela1[[#This Row],[Qtd]]</f>
        <v>#N/A</v>
      </c>
      <c r="G153" s="12" t="e">
        <f>IF(OR(Tabela1[[#This Row],[Análise]]="Em estoque",Tabela1[[#This Row],[Análise]]=$V$4),"Atende 7 dias","Atende 30 dias")</f>
        <v>#N/A</v>
      </c>
    </row>
    <row r="154" spans="1:7" x14ac:dyDescent="0.25">
      <c r="A154">
        <f>'Pedidos de Venda'!A160</f>
        <v>0</v>
      </c>
      <c r="B154">
        <f>'Pedidos de Venda'!C160</f>
        <v>0</v>
      </c>
      <c r="C154">
        <f>'Pedidos de Venda'!B160</f>
        <v>0</v>
      </c>
      <c r="D154" s="65" t="e">
        <f>IF(F154&lt;=0, VLOOKUP(C154, [1]Localização!A:R, 18, FALSE), "Em estoque")</f>
        <v>#N/A</v>
      </c>
      <c r="E154" t="e">
        <f>VLOOKUP(Tabela1[[#This Row],[Código (SKU)]],Necessidade!B:P,15,FALSE)</f>
        <v>#N/A</v>
      </c>
      <c r="F154" t="e">
        <f>Tabela1[[#This Row],[Estoque Virtual]]-Tabela1[[#This Row],[Qtd]]</f>
        <v>#N/A</v>
      </c>
      <c r="G154" s="12" t="e">
        <f>IF(OR(Tabela1[[#This Row],[Análise]]="Em estoque",Tabela1[[#This Row],[Análise]]=$V$4),"Atende 7 dias","Atende 30 dias")</f>
        <v>#N/A</v>
      </c>
    </row>
    <row r="155" spans="1:7" x14ac:dyDescent="0.25">
      <c r="A155">
        <f>'Pedidos de Venda'!A161</f>
        <v>0</v>
      </c>
      <c r="B155">
        <f>'Pedidos de Venda'!C161</f>
        <v>0</v>
      </c>
      <c r="C155">
        <f>'Pedidos de Venda'!B161</f>
        <v>0</v>
      </c>
      <c r="D155" s="65" t="e">
        <f>IF(F155&lt;=0, VLOOKUP(C155, [1]Localização!A:R, 18, FALSE), "Em estoque")</f>
        <v>#N/A</v>
      </c>
      <c r="E155" t="e">
        <f>VLOOKUP(Tabela1[[#This Row],[Código (SKU)]],Necessidade!B:P,15,FALSE)</f>
        <v>#N/A</v>
      </c>
      <c r="F155" t="e">
        <f>Tabela1[[#This Row],[Estoque Virtual]]-Tabela1[[#This Row],[Qtd]]</f>
        <v>#N/A</v>
      </c>
      <c r="G155" s="12" t="e">
        <f>IF(OR(Tabela1[[#This Row],[Análise]]="Em estoque",Tabela1[[#This Row],[Análise]]=$V$4),"Atende 7 dias","Atende 30 dias")</f>
        <v>#N/A</v>
      </c>
    </row>
    <row r="156" spans="1:7" x14ac:dyDescent="0.25">
      <c r="A156">
        <f>'Pedidos de Venda'!A162</f>
        <v>0</v>
      </c>
      <c r="B156">
        <f>'Pedidos de Venda'!C162</f>
        <v>0</v>
      </c>
      <c r="C156">
        <f>'Pedidos de Venda'!B162</f>
        <v>0</v>
      </c>
      <c r="D156" s="65" t="e">
        <f>IF(F156&lt;=0, VLOOKUP(C156, [1]Localização!A:R, 18, FALSE), "Em estoque")</f>
        <v>#N/A</v>
      </c>
      <c r="E156" t="e">
        <f>VLOOKUP(Tabela1[[#This Row],[Código (SKU)]],Necessidade!B:P,15,FALSE)</f>
        <v>#N/A</v>
      </c>
      <c r="F156" t="e">
        <f>Tabela1[[#This Row],[Estoque Virtual]]-Tabela1[[#This Row],[Qtd]]</f>
        <v>#N/A</v>
      </c>
      <c r="G156" s="12" t="e">
        <f>IF(OR(Tabela1[[#This Row],[Análise]]="Em estoque",Tabela1[[#This Row],[Análise]]=$V$4),"Atende 7 dias","Atende 30 dias")</f>
        <v>#N/A</v>
      </c>
    </row>
    <row r="157" spans="1:7" x14ac:dyDescent="0.25">
      <c r="A157">
        <f>'Pedidos de Venda'!A163</f>
        <v>0</v>
      </c>
      <c r="B157">
        <f>'Pedidos de Venda'!C163</f>
        <v>0</v>
      </c>
      <c r="C157">
        <f>'Pedidos de Venda'!B163</f>
        <v>0</v>
      </c>
      <c r="D157" s="65" t="e">
        <f>IF(F157&lt;=0, VLOOKUP(C157, [1]Localização!A:R, 18, FALSE), "Em estoque")</f>
        <v>#N/A</v>
      </c>
      <c r="E157" t="e">
        <f>VLOOKUP(Tabela1[[#This Row],[Código (SKU)]],Necessidade!B:P,15,FALSE)</f>
        <v>#N/A</v>
      </c>
      <c r="F157" t="e">
        <f>Tabela1[[#This Row],[Estoque Virtual]]-Tabela1[[#This Row],[Qtd]]</f>
        <v>#N/A</v>
      </c>
      <c r="G157" s="12" t="e">
        <f>IF(OR(Tabela1[[#This Row],[Análise]]="Em estoque",Tabela1[[#This Row],[Análise]]=$V$4),"Atende 7 dias","Atende 30 dias")</f>
        <v>#N/A</v>
      </c>
    </row>
    <row r="158" spans="1:7" x14ac:dyDescent="0.25">
      <c r="A158">
        <f>'Pedidos de Venda'!A164</f>
        <v>0</v>
      </c>
      <c r="B158">
        <f>'Pedidos de Venda'!C164</f>
        <v>0</v>
      </c>
      <c r="C158">
        <f>'Pedidos de Venda'!B164</f>
        <v>0</v>
      </c>
      <c r="D158" s="65" t="e">
        <f>IF(F158&lt;=0, VLOOKUP(C158, [1]Localização!A:R, 18, FALSE), "Em estoque")</f>
        <v>#N/A</v>
      </c>
      <c r="E158" t="e">
        <f>VLOOKUP(Tabela1[[#This Row],[Código (SKU)]],Necessidade!B:P,15,FALSE)</f>
        <v>#N/A</v>
      </c>
      <c r="F158" t="e">
        <f>Tabela1[[#This Row],[Estoque Virtual]]-Tabela1[[#This Row],[Qtd]]</f>
        <v>#N/A</v>
      </c>
      <c r="G158" s="12" t="e">
        <f>IF(OR(Tabela1[[#This Row],[Análise]]="Em estoque",Tabela1[[#This Row],[Análise]]=$V$4),"Atende 7 dias","Atende 30 dias")</f>
        <v>#N/A</v>
      </c>
    </row>
    <row r="159" spans="1:7" x14ac:dyDescent="0.25">
      <c r="A159">
        <f>'Pedidos de Venda'!A165</f>
        <v>0</v>
      </c>
      <c r="B159">
        <f>'Pedidos de Venda'!C165</f>
        <v>0</v>
      </c>
      <c r="C159">
        <f>'Pedidos de Venda'!B165</f>
        <v>0</v>
      </c>
      <c r="D159" s="65" t="e">
        <f>IF(F159&lt;=0, VLOOKUP(C159, [1]Localização!A:R, 18, FALSE), "Em estoque")</f>
        <v>#N/A</v>
      </c>
      <c r="E159" t="e">
        <f>VLOOKUP(Tabela1[[#This Row],[Código (SKU)]],Necessidade!B:P,15,FALSE)</f>
        <v>#N/A</v>
      </c>
      <c r="F159" t="e">
        <f>Tabela1[[#This Row],[Estoque Virtual]]-Tabela1[[#This Row],[Qtd]]</f>
        <v>#N/A</v>
      </c>
      <c r="G159" s="12" t="e">
        <f>IF(OR(Tabela1[[#This Row],[Análise]]="Em estoque",Tabela1[[#This Row],[Análise]]=$V$4),"Atende 7 dias","Atende 30 dias")</f>
        <v>#N/A</v>
      </c>
    </row>
    <row r="160" spans="1:7" x14ac:dyDescent="0.25">
      <c r="A160">
        <f>'Pedidos de Venda'!A166</f>
        <v>0</v>
      </c>
      <c r="B160">
        <f>'Pedidos de Venda'!C166</f>
        <v>0</v>
      </c>
      <c r="C160">
        <f>'Pedidos de Venda'!B166</f>
        <v>0</v>
      </c>
      <c r="D160" s="65" t="e">
        <f>IF(F160&lt;=0, VLOOKUP(C160, [1]Localização!A:R, 18, FALSE), "Em estoque")</f>
        <v>#N/A</v>
      </c>
      <c r="E160" t="e">
        <f>VLOOKUP(Tabela1[[#This Row],[Código (SKU)]],Necessidade!B:P,15,FALSE)</f>
        <v>#N/A</v>
      </c>
      <c r="F160" t="e">
        <f>Tabela1[[#This Row],[Estoque Virtual]]-Tabela1[[#This Row],[Qtd]]</f>
        <v>#N/A</v>
      </c>
      <c r="G160" s="12" t="e">
        <f>IF(OR(Tabela1[[#This Row],[Análise]]="Em estoque",Tabela1[[#This Row],[Análise]]=$V$4),"Atende 7 dias","Atende 30 dias")</f>
        <v>#N/A</v>
      </c>
    </row>
    <row r="161" spans="1:7" x14ac:dyDescent="0.25">
      <c r="A161">
        <f>'Pedidos de Venda'!A167</f>
        <v>0</v>
      </c>
      <c r="B161">
        <f>'Pedidos de Venda'!C167</f>
        <v>0</v>
      </c>
      <c r="C161">
        <f>'Pedidos de Venda'!B167</f>
        <v>0</v>
      </c>
      <c r="D161" s="65" t="e">
        <f>IF(F161&lt;=0, VLOOKUP(C161, [1]Localização!A:R, 18, FALSE), "Em estoque")</f>
        <v>#N/A</v>
      </c>
      <c r="E161" t="e">
        <f>VLOOKUP(Tabela1[[#This Row],[Código (SKU)]],Necessidade!B:P,15,FALSE)</f>
        <v>#N/A</v>
      </c>
      <c r="F161" t="e">
        <f>Tabela1[[#This Row],[Estoque Virtual]]-Tabela1[[#This Row],[Qtd]]</f>
        <v>#N/A</v>
      </c>
      <c r="G161" s="12" t="e">
        <f>IF(OR(Tabela1[[#This Row],[Análise]]="Em estoque",Tabela1[[#This Row],[Análise]]=$V$4),"Atende 7 dias","Atende 30 dias")</f>
        <v>#N/A</v>
      </c>
    </row>
    <row r="162" spans="1:7" x14ac:dyDescent="0.25">
      <c r="A162">
        <f>'Pedidos de Venda'!A168</f>
        <v>0</v>
      </c>
      <c r="B162">
        <f>'Pedidos de Venda'!C168</f>
        <v>0</v>
      </c>
      <c r="C162">
        <f>'Pedidos de Venda'!B168</f>
        <v>0</v>
      </c>
      <c r="D162" s="65" t="e">
        <f>IF(F162&lt;=0, VLOOKUP(C162, [1]Localização!A:R, 18, FALSE), "Em estoque")</f>
        <v>#N/A</v>
      </c>
      <c r="E162" t="e">
        <f>VLOOKUP(Tabela1[[#This Row],[Código (SKU)]],Necessidade!B:P,15,FALSE)</f>
        <v>#N/A</v>
      </c>
      <c r="F162" t="e">
        <f>Tabela1[[#This Row],[Estoque Virtual]]-Tabela1[[#This Row],[Qtd]]</f>
        <v>#N/A</v>
      </c>
      <c r="G162" s="12" t="e">
        <f>IF(OR(Tabela1[[#This Row],[Análise]]="Em estoque",Tabela1[[#This Row],[Análise]]=$V$4),"Atende 7 dias","Atende 30 dias")</f>
        <v>#N/A</v>
      </c>
    </row>
    <row r="163" spans="1:7" x14ac:dyDescent="0.25">
      <c r="A163">
        <f>'Pedidos de Venda'!A169</f>
        <v>0</v>
      </c>
      <c r="B163">
        <f>'Pedidos de Venda'!C169</f>
        <v>0</v>
      </c>
      <c r="C163">
        <f>'Pedidos de Venda'!B169</f>
        <v>0</v>
      </c>
      <c r="D163" s="65" t="e">
        <f>IF(F163&lt;=0, VLOOKUP(C163, [1]Localização!A:R, 18, FALSE), "Em estoque")</f>
        <v>#N/A</v>
      </c>
      <c r="E163" t="e">
        <f>VLOOKUP(Tabela1[[#This Row],[Código (SKU)]],Necessidade!B:P,15,FALSE)</f>
        <v>#N/A</v>
      </c>
      <c r="F163" t="e">
        <f>Tabela1[[#This Row],[Estoque Virtual]]-Tabela1[[#This Row],[Qtd]]</f>
        <v>#N/A</v>
      </c>
      <c r="G163" s="12" t="e">
        <f>IF(OR(Tabela1[[#This Row],[Análise]]="Em estoque",Tabela1[[#This Row],[Análise]]=$V$4),"Atende 7 dias","Atende 30 dias")</f>
        <v>#N/A</v>
      </c>
    </row>
    <row r="164" spans="1:7" x14ac:dyDescent="0.25">
      <c r="A164">
        <f>'Pedidos de Venda'!A170</f>
        <v>0</v>
      </c>
      <c r="B164">
        <f>'Pedidos de Venda'!C170</f>
        <v>0</v>
      </c>
      <c r="C164">
        <f>'Pedidos de Venda'!B170</f>
        <v>0</v>
      </c>
      <c r="D164" s="65" t="e">
        <f>IF(F164&lt;=0, VLOOKUP(C164, [1]Localização!A:R, 18, FALSE), "Em estoque")</f>
        <v>#N/A</v>
      </c>
      <c r="E164" t="e">
        <f>VLOOKUP(Tabela1[[#This Row],[Código (SKU)]],Necessidade!B:P,15,FALSE)</f>
        <v>#N/A</v>
      </c>
      <c r="F164" t="e">
        <f>Tabela1[[#This Row],[Estoque Virtual]]-Tabela1[[#This Row],[Qtd]]</f>
        <v>#N/A</v>
      </c>
      <c r="G164" s="12" t="e">
        <f>IF(OR(Tabela1[[#This Row],[Análise]]="Em estoque",Tabela1[[#This Row],[Análise]]=$V$4),"Atende 7 dias","Atende 30 dias")</f>
        <v>#N/A</v>
      </c>
    </row>
    <row r="165" spans="1:7" x14ac:dyDescent="0.25">
      <c r="A165">
        <f>'Pedidos de Venda'!A171</f>
        <v>0</v>
      </c>
      <c r="B165">
        <f>'Pedidos de Venda'!C171</f>
        <v>0</v>
      </c>
      <c r="C165">
        <f>'Pedidos de Venda'!B171</f>
        <v>0</v>
      </c>
      <c r="D165" s="65" t="e">
        <f>IF(F165&lt;=0, VLOOKUP(C165, [1]Localização!A:R, 18, FALSE), "Em estoque")</f>
        <v>#N/A</v>
      </c>
      <c r="E165" t="e">
        <f>VLOOKUP(Tabela1[[#This Row],[Código (SKU)]],Necessidade!B:P,15,FALSE)</f>
        <v>#N/A</v>
      </c>
      <c r="F165" t="e">
        <f>Tabela1[[#This Row],[Estoque Virtual]]-Tabela1[[#This Row],[Qtd]]</f>
        <v>#N/A</v>
      </c>
      <c r="G165" s="12" t="e">
        <f>IF(OR(Tabela1[[#This Row],[Análise]]="Em estoque",Tabela1[[#This Row],[Análise]]=$V$4),"Atende 7 dias","Atende 30 dias")</f>
        <v>#N/A</v>
      </c>
    </row>
    <row r="166" spans="1:7" x14ac:dyDescent="0.25">
      <c r="A166">
        <f>'Pedidos de Venda'!A172</f>
        <v>0</v>
      </c>
      <c r="B166">
        <f>'Pedidos de Venda'!C172</f>
        <v>0</v>
      </c>
      <c r="C166">
        <f>'Pedidos de Venda'!B172</f>
        <v>0</v>
      </c>
      <c r="D166" s="65" t="e">
        <f>IF(F166&lt;=0, VLOOKUP(C166, [1]Localização!A:R, 18, FALSE), "Em estoque")</f>
        <v>#N/A</v>
      </c>
      <c r="E166" t="e">
        <f>VLOOKUP(Tabela1[[#This Row],[Código (SKU)]],Necessidade!B:P,15,FALSE)</f>
        <v>#N/A</v>
      </c>
      <c r="F166" t="e">
        <f>Tabela1[[#This Row],[Estoque Virtual]]-Tabela1[[#This Row],[Qtd]]</f>
        <v>#N/A</v>
      </c>
      <c r="G166" s="12" t="e">
        <f>IF(OR(Tabela1[[#This Row],[Análise]]="Em estoque",Tabela1[[#This Row],[Análise]]=$V$4),"Atende 7 dias","Atende 30 dias")</f>
        <v>#N/A</v>
      </c>
    </row>
    <row r="167" spans="1:7" x14ac:dyDescent="0.25">
      <c r="A167">
        <f>'Pedidos de Venda'!A173</f>
        <v>0</v>
      </c>
      <c r="B167">
        <f>'Pedidos de Venda'!C173</f>
        <v>0</v>
      </c>
      <c r="C167">
        <f>'Pedidos de Venda'!B173</f>
        <v>0</v>
      </c>
      <c r="D167" s="65" t="e">
        <f>IF(F167&lt;=0, VLOOKUP(C167, [1]Localização!A:R, 18, FALSE), "Em estoque")</f>
        <v>#N/A</v>
      </c>
      <c r="E167" t="e">
        <f>VLOOKUP(Tabela1[[#This Row],[Código (SKU)]],Necessidade!B:P,15,FALSE)</f>
        <v>#N/A</v>
      </c>
      <c r="F167" t="e">
        <f>Tabela1[[#This Row],[Estoque Virtual]]-Tabela1[[#This Row],[Qtd]]</f>
        <v>#N/A</v>
      </c>
      <c r="G167" s="12" t="e">
        <f>IF(OR(Tabela1[[#This Row],[Análise]]="Em estoque",Tabela1[[#This Row],[Análise]]=$V$4),"Atende 7 dias","Atende 30 dias")</f>
        <v>#N/A</v>
      </c>
    </row>
    <row r="168" spans="1:7" x14ac:dyDescent="0.25">
      <c r="A168">
        <f>'Pedidos de Venda'!A174</f>
        <v>0</v>
      </c>
      <c r="B168">
        <f>'Pedidos de Venda'!C174</f>
        <v>0</v>
      </c>
      <c r="C168">
        <f>'Pedidos de Venda'!B174</f>
        <v>0</v>
      </c>
      <c r="D168" s="65" t="e">
        <f>IF(F168&lt;=0, VLOOKUP(C168, [1]Localização!A:R, 18, FALSE), "Em estoque")</f>
        <v>#N/A</v>
      </c>
      <c r="E168" t="e">
        <f>VLOOKUP(Tabela1[[#This Row],[Código (SKU)]],Necessidade!B:P,15,FALSE)</f>
        <v>#N/A</v>
      </c>
      <c r="F168" t="e">
        <f>Tabela1[[#This Row],[Estoque Virtual]]-Tabela1[[#This Row],[Qtd]]</f>
        <v>#N/A</v>
      </c>
      <c r="G168" s="12" t="e">
        <f>IF(OR(Tabela1[[#This Row],[Análise]]="Em estoque",Tabela1[[#This Row],[Análise]]=$V$4),"Atende 7 dias","Atende 30 dias")</f>
        <v>#N/A</v>
      </c>
    </row>
    <row r="169" spans="1:7" x14ac:dyDescent="0.25">
      <c r="A169">
        <f>'Pedidos de Venda'!A175</f>
        <v>0</v>
      </c>
      <c r="B169">
        <f>'Pedidos de Venda'!C175</f>
        <v>0</v>
      </c>
      <c r="C169">
        <f>'Pedidos de Venda'!B175</f>
        <v>0</v>
      </c>
      <c r="D169" s="65" t="e">
        <f>IF(F169&lt;=0, VLOOKUP(C169, [1]Localização!A:R, 18, FALSE), "Em estoque")</f>
        <v>#N/A</v>
      </c>
      <c r="E169" t="e">
        <f>VLOOKUP(Tabela1[[#This Row],[Código (SKU)]],Necessidade!B:P,15,FALSE)</f>
        <v>#N/A</v>
      </c>
      <c r="F169" t="e">
        <f>Tabela1[[#This Row],[Estoque Virtual]]-Tabela1[[#This Row],[Qtd]]</f>
        <v>#N/A</v>
      </c>
      <c r="G169" s="12" t="e">
        <f>IF(OR(Tabela1[[#This Row],[Análise]]="Em estoque",Tabela1[[#This Row],[Análise]]=$V$4),"Atende 7 dias","Atende 30 dias")</f>
        <v>#N/A</v>
      </c>
    </row>
    <row r="170" spans="1:7" x14ac:dyDescent="0.25">
      <c r="A170">
        <f>'Pedidos de Venda'!A176</f>
        <v>0</v>
      </c>
      <c r="B170">
        <f>'Pedidos de Venda'!C176</f>
        <v>0</v>
      </c>
      <c r="C170">
        <f>'Pedidos de Venda'!B176</f>
        <v>0</v>
      </c>
      <c r="D170" s="65" t="e">
        <f>IF(F170&lt;=0, VLOOKUP(C170, [1]Localização!A:R, 18, FALSE), "Em estoque")</f>
        <v>#N/A</v>
      </c>
      <c r="E170" t="e">
        <f>VLOOKUP(Tabela1[[#This Row],[Código (SKU)]],Necessidade!B:P,15,FALSE)</f>
        <v>#N/A</v>
      </c>
      <c r="F170" t="e">
        <f>Tabela1[[#This Row],[Estoque Virtual]]-Tabela1[[#This Row],[Qtd]]</f>
        <v>#N/A</v>
      </c>
      <c r="G170" s="12" t="e">
        <f>IF(OR(Tabela1[[#This Row],[Análise]]="Em estoque",Tabela1[[#This Row],[Análise]]=$V$4),"Atende 7 dias","Atende 30 dias")</f>
        <v>#N/A</v>
      </c>
    </row>
    <row r="171" spans="1:7" x14ac:dyDescent="0.25">
      <c r="A171">
        <f>'Pedidos de Venda'!A177</f>
        <v>0</v>
      </c>
      <c r="B171">
        <f>'Pedidos de Venda'!C177</f>
        <v>0</v>
      </c>
      <c r="C171">
        <f>'Pedidos de Venda'!B177</f>
        <v>0</v>
      </c>
      <c r="D171" s="65" t="e">
        <f>IF(F171&lt;=0, VLOOKUP(C171, [1]Localização!A:R, 18, FALSE), "Em estoque")</f>
        <v>#N/A</v>
      </c>
      <c r="E171" t="e">
        <f>VLOOKUP(Tabela1[[#This Row],[Código (SKU)]],Necessidade!B:P,15,FALSE)</f>
        <v>#N/A</v>
      </c>
      <c r="F171" t="e">
        <f>Tabela1[[#This Row],[Estoque Virtual]]-Tabela1[[#This Row],[Qtd]]</f>
        <v>#N/A</v>
      </c>
      <c r="G171" s="12" t="e">
        <f>IF(OR(Tabela1[[#This Row],[Análise]]="Em estoque",Tabela1[[#This Row],[Análise]]=$V$4),"Atende 7 dias","Atende 30 dias")</f>
        <v>#N/A</v>
      </c>
    </row>
    <row r="172" spans="1:7" x14ac:dyDescent="0.25">
      <c r="A172">
        <f>'Pedidos de Venda'!A178</f>
        <v>0</v>
      </c>
      <c r="B172">
        <f>'Pedidos de Venda'!C178</f>
        <v>0</v>
      </c>
      <c r="C172">
        <f>'Pedidos de Venda'!B178</f>
        <v>0</v>
      </c>
      <c r="D172" s="65" t="e">
        <f>IF(F172&lt;=0, VLOOKUP(C172, [1]Localização!A:R, 18, FALSE), "Em estoque")</f>
        <v>#N/A</v>
      </c>
      <c r="E172" t="e">
        <f>VLOOKUP(Tabela1[[#This Row],[Código (SKU)]],Necessidade!B:P,15,FALSE)</f>
        <v>#N/A</v>
      </c>
      <c r="F172" t="e">
        <f>Tabela1[[#This Row],[Estoque Virtual]]-Tabela1[[#This Row],[Qtd]]</f>
        <v>#N/A</v>
      </c>
      <c r="G172" s="12" t="e">
        <f>IF(OR(Tabela1[[#This Row],[Análise]]="Em estoque",Tabela1[[#This Row],[Análise]]=$V$4),"Atende 7 dias","Atende 30 dias")</f>
        <v>#N/A</v>
      </c>
    </row>
    <row r="173" spans="1:7" x14ac:dyDescent="0.25">
      <c r="A173">
        <f>'Pedidos de Venda'!A179</f>
        <v>0</v>
      </c>
      <c r="B173">
        <f>'Pedidos de Venda'!C179</f>
        <v>0</v>
      </c>
      <c r="C173">
        <f>'Pedidos de Venda'!B179</f>
        <v>0</v>
      </c>
      <c r="D173" s="65" t="e">
        <f>IF(F173&lt;=0, VLOOKUP(C173, [1]Localização!A:R, 18, FALSE), "Em estoque")</f>
        <v>#N/A</v>
      </c>
      <c r="E173" t="e">
        <f>VLOOKUP(Tabela1[[#This Row],[Código (SKU)]],Necessidade!B:P,15,FALSE)</f>
        <v>#N/A</v>
      </c>
      <c r="F173" t="e">
        <f>Tabela1[[#This Row],[Estoque Virtual]]-Tabela1[[#This Row],[Qtd]]</f>
        <v>#N/A</v>
      </c>
      <c r="G173" s="12" t="e">
        <f>IF(OR(Tabela1[[#This Row],[Análise]]="Em estoque",Tabela1[[#This Row],[Análise]]=$V$4),"Atende 7 dias","Atende 30 dias")</f>
        <v>#N/A</v>
      </c>
    </row>
    <row r="174" spans="1:7" x14ac:dyDescent="0.25">
      <c r="A174">
        <f>'Pedidos de Venda'!A180</f>
        <v>0</v>
      </c>
      <c r="B174">
        <f>'Pedidos de Venda'!C180</f>
        <v>0</v>
      </c>
      <c r="C174">
        <f>'Pedidos de Venda'!B180</f>
        <v>0</v>
      </c>
      <c r="D174" s="65" t="e">
        <f>IF(F174&lt;=0, VLOOKUP(C174, [1]Localização!A:R, 18, FALSE), "Em estoque")</f>
        <v>#N/A</v>
      </c>
      <c r="E174" t="e">
        <f>VLOOKUP(Tabela1[[#This Row],[Código (SKU)]],Necessidade!B:P,15,FALSE)</f>
        <v>#N/A</v>
      </c>
      <c r="F174" t="e">
        <f>Tabela1[[#This Row],[Estoque Virtual]]-Tabela1[[#This Row],[Qtd]]</f>
        <v>#N/A</v>
      </c>
      <c r="G174" s="12" t="e">
        <f>IF(OR(Tabela1[[#This Row],[Análise]]="Em estoque",Tabela1[[#This Row],[Análise]]=$V$4),"Atende 7 dias","Atende 30 dias")</f>
        <v>#N/A</v>
      </c>
    </row>
    <row r="175" spans="1:7" x14ac:dyDescent="0.25">
      <c r="A175">
        <f>'Pedidos de Venda'!A181</f>
        <v>0</v>
      </c>
      <c r="B175">
        <f>'Pedidos de Venda'!C181</f>
        <v>0</v>
      </c>
      <c r="C175">
        <f>'Pedidos de Venda'!B181</f>
        <v>0</v>
      </c>
      <c r="D175" s="65" t="e">
        <f>IF(F175&lt;=0, VLOOKUP(C175, [1]Localização!A:R, 18, FALSE), "Em estoque")</f>
        <v>#N/A</v>
      </c>
      <c r="E175" t="e">
        <f>VLOOKUP(Tabela1[[#This Row],[Código (SKU)]],Necessidade!B:P,15,FALSE)</f>
        <v>#N/A</v>
      </c>
      <c r="F175" t="e">
        <f>Tabela1[[#This Row],[Estoque Virtual]]-Tabela1[[#This Row],[Qtd]]</f>
        <v>#N/A</v>
      </c>
      <c r="G175" s="12" t="e">
        <f>IF(OR(Tabela1[[#This Row],[Análise]]="Em estoque",Tabela1[[#This Row],[Análise]]=$V$4),"Atende 7 dias","Atende 30 dias")</f>
        <v>#N/A</v>
      </c>
    </row>
    <row r="176" spans="1:7" x14ac:dyDescent="0.25">
      <c r="A176">
        <f>'Pedidos de Venda'!A182</f>
        <v>0</v>
      </c>
      <c r="B176">
        <f>'Pedidos de Venda'!C182</f>
        <v>0</v>
      </c>
      <c r="C176">
        <f>'Pedidos de Venda'!B182</f>
        <v>0</v>
      </c>
      <c r="D176" s="65" t="e">
        <f>IF(F176&lt;=0, VLOOKUP(C176, [1]Localização!A:R, 18, FALSE), "Em estoque")</f>
        <v>#N/A</v>
      </c>
      <c r="E176" t="e">
        <f>VLOOKUP(Tabela1[[#This Row],[Código (SKU)]],Necessidade!B:P,15,FALSE)</f>
        <v>#N/A</v>
      </c>
      <c r="F176" t="e">
        <f>Tabela1[[#This Row],[Estoque Virtual]]-Tabela1[[#This Row],[Qtd]]</f>
        <v>#N/A</v>
      </c>
      <c r="G176" s="12" t="e">
        <f>IF(OR(Tabela1[[#This Row],[Análise]]="Em estoque",Tabela1[[#This Row],[Análise]]=$V$4),"Atende 7 dias","Atende 30 dias")</f>
        <v>#N/A</v>
      </c>
    </row>
    <row r="177" spans="1:7" x14ac:dyDescent="0.25">
      <c r="A177">
        <f>'Pedidos de Venda'!A183</f>
        <v>0</v>
      </c>
      <c r="B177">
        <f>'Pedidos de Venda'!C183</f>
        <v>0</v>
      </c>
      <c r="C177">
        <f>'Pedidos de Venda'!B183</f>
        <v>0</v>
      </c>
      <c r="D177" s="65" t="e">
        <f>IF(F177&lt;=0, VLOOKUP(C177, [1]Localização!A:R, 18, FALSE), "Em estoque")</f>
        <v>#N/A</v>
      </c>
      <c r="E177" t="e">
        <f>VLOOKUP(Tabela1[[#This Row],[Código (SKU)]],Necessidade!B:P,15,FALSE)</f>
        <v>#N/A</v>
      </c>
      <c r="F177" t="e">
        <f>Tabela1[[#This Row],[Estoque Virtual]]-Tabela1[[#This Row],[Qtd]]</f>
        <v>#N/A</v>
      </c>
      <c r="G177" s="12" t="e">
        <f>IF(OR(Tabela1[[#This Row],[Análise]]="Em estoque",Tabela1[[#This Row],[Análise]]=$V$4),"Atende 7 dias","Atende 30 dias")</f>
        <v>#N/A</v>
      </c>
    </row>
    <row r="178" spans="1:7" x14ac:dyDescent="0.25">
      <c r="A178">
        <f>'Pedidos de Venda'!A184</f>
        <v>0</v>
      </c>
      <c r="B178">
        <f>'Pedidos de Venda'!C184</f>
        <v>0</v>
      </c>
      <c r="C178">
        <f>'Pedidos de Venda'!B184</f>
        <v>0</v>
      </c>
      <c r="D178" s="65" t="e">
        <f>IF(F178&lt;=0, VLOOKUP(C178, [1]Localização!A:R, 18, FALSE), "Em estoque")</f>
        <v>#N/A</v>
      </c>
      <c r="E178" t="e">
        <f>VLOOKUP(Tabela1[[#This Row],[Código (SKU)]],Necessidade!B:P,15,FALSE)</f>
        <v>#N/A</v>
      </c>
      <c r="F178" t="e">
        <f>Tabela1[[#This Row],[Estoque Virtual]]-Tabela1[[#This Row],[Qtd]]</f>
        <v>#N/A</v>
      </c>
      <c r="G178" s="12" t="e">
        <f>IF(OR(Tabela1[[#This Row],[Análise]]="Em estoque",Tabela1[[#This Row],[Análise]]=$V$4),"Atende 7 dias","Atende 30 dias")</f>
        <v>#N/A</v>
      </c>
    </row>
    <row r="179" spans="1:7" x14ac:dyDescent="0.25">
      <c r="A179">
        <f>'Pedidos de Venda'!A185</f>
        <v>0</v>
      </c>
      <c r="B179">
        <f>'Pedidos de Venda'!C185</f>
        <v>0</v>
      </c>
      <c r="C179">
        <f>'Pedidos de Venda'!B185</f>
        <v>0</v>
      </c>
      <c r="D179" s="65" t="e">
        <f>IF(F179&lt;=0, VLOOKUP(C179, [1]Localização!A:R, 18, FALSE), "Em estoque")</f>
        <v>#N/A</v>
      </c>
      <c r="E179" t="e">
        <f>VLOOKUP(Tabela1[[#This Row],[Código (SKU)]],Necessidade!B:P,15,FALSE)</f>
        <v>#N/A</v>
      </c>
      <c r="F179" t="e">
        <f>Tabela1[[#This Row],[Estoque Virtual]]-Tabela1[[#This Row],[Qtd]]</f>
        <v>#N/A</v>
      </c>
      <c r="G179" s="12" t="e">
        <f>IF(OR(Tabela1[[#This Row],[Análise]]="Em estoque",Tabela1[[#This Row],[Análise]]=$V$4),"Atende 7 dias","Atende 30 dias")</f>
        <v>#N/A</v>
      </c>
    </row>
    <row r="180" spans="1:7" x14ac:dyDescent="0.25">
      <c r="A180">
        <f>'Pedidos de Venda'!A186</f>
        <v>0</v>
      </c>
      <c r="B180">
        <f>'Pedidos de Venda'!C186</f>
        <v>0</v>
      </c>
      <c r="C180">
        <f>'Pedidos de Venda'!B186</f>
        <v>0</v>
      </c>
      <c r="D180" s="65" t="e">
        <f>IF(F180&lt;=0, VLOOKUP(C180, [1]Localização!A:R, 18, FALSE), "Em estoque")</f>
        <v>#N/A</v>
      </c>
      <c r="E180" t="e">
        <f>VLOOKUP(Tabela1[[#This Row],[Código (SKU)]],Necessidade!B:P,15,FALSE)</f>
        <v>#N/A</v>
      </c>
      <c r="F180" t="e">
        <f>Tabela1[[#This Row],[Estoque Virtual]]-Tabela1[[#This Row],[Qtd]]</f>
        <v>#N/A</v>
      </c>
      <c r="G180" s="12" t="e">
        <f>IF(OR(Tabela1[[#This Row],[Análise]]="Em estoque",Tabela1[[#This Row],[Análise]]=$V$4),"Atende 7 dias","Atende 30 dias")</f>
        <v>#N/A</v>
      </c>
    </row>
    <row r="181" spans="1:7" x14ac:dyDescent="0.25">
      <c r="A181">
        <f>'Pedidos de Venda'!A187</f>
        <v>0</v>
      </c>
      <c r="B181">
        <f>'Pedidos de Venda'!C187</f>
        <v>0</v>
      </c>
      <c r="C181">
        <f>'Pedidos de Venda'!B187</f>
        <v>0</v>
      </c>
      <c r="D181" s="65" t="e">
        <f>IF(F181&lt;=0, VLOOKUP(C181, [1]Localização!A:R, 18, FALSE), "Em estoque")</f>
        <v>#N/A</v>
      </c>
      <c r="E181" t="e">
        <f>VLOOKUP(Tabela1[[#This Row],[Código (SKU)]],Necessidade!B:P,15,FALSE)</f>
        <v>#N/A</v>
      </c>
      <c r="F181" t="e">
        <f>Tabela1[[#This Row],[Estoque Virtual]]-Tabela1[[#This Row],[Qtd]]</f>
        <v>#N/A</v>
      </c>
      <c r="G181" s="12" t="e">
        <f>IF(OR(Tabela1[[#This Row],[Análise]]="Em estoque",Tabela1[[#This Row],[Análise]]=$V$4),"Atende 7 dias","Atende 30 dias")</f>
        <v>#N/A</v>
      </c>
    </row>
    <row r="182" spans="1:7" x14ac:dyDescent="0.25">
      <c r="A182">
        <f>'Pedidos de Venda'!A188</f>
        <v>0</v>
      </c>
      <c r="B182">
        <f>'Pedidos de Venda'!C188</f>
        <v>0</v>
      </c>
      <c r="C182">
        <f>'Pedidos de Venda'!B188</f>
        <v>0</v>
      </c>
      <c r="D182" s="65" t="e">
        <f>IF(F182&lt;=0, VLOOKUP(C182, [1]Localização!A:R, 18, FALSE), "Em estoque")</f>
        <v>#N/A</v>
      </c>
      <c r="E182" t="e">
        <f>VLOOKUP(Tabela1[[#This Row],[Código (SKU)]],Necessidade!B:P,15,FALSE)</f>
        <v>#N/A</v>
      </c>
      <c r="F182" t="e">
        <f>Tabela1[[#This Row],[Estoque Virtual]]-Tabela1[[#This Row],[Qtd]]</f>
        <v>#N/A</v>
      </c>
      <c r="G182" s="12" t="e">
        <f>IF(OR(Tabela1[[#This Row],[Análise]]="Em estoque",Tabela1[[#This Row],[Análise]]=$V$4),"Atende 7 dias","Atende 30 dias")</f>
        <v>#N/A</v>
      </c>
    </row>
    <row r="183" spans="1:7" x14ac:dyDescent="0.25">
      <c r="A183">
        <f>'Pedidos de Venda'!A189</f>
        <v>0</v>
      </c>
      <c r="B183">
        <f>'Pedidos de Venda'!C189</f>
        <v>0</v>
      </c>
      <c r="C183">
        <f>'Pedidos de Venda'!B189</f>
        <v>0</v>
      </c>
      <c r="D183" s="65" t="e">
        <f>IF(F183&lt;=0, VLOOKUP(C183, [1]Localização!A:R, 18, FALSE), "Em estoque")</f>
        <v>#N/A</v>
      </c>
      <c r="E183" t="e">
        <f>VLOOKUP(Tabela1[[#This Row],[Código (SKU)]],Necessidade!B:P,15,FALSE)</f>
        <v>#N/A</v>
      </c>
      <c r="F183" t="e">
        <f>Tabela1[[#This Row],[Estoque Virtual]]-Tabela1[[#This Row],[Qtd]]</f>
        <v>#N/A</v>
      </c>
      <c r="G183" s="12" t="e">
        <f>IF(OR(Tabela1[[#This Row],[Análise]]="Em estoque",Tabela1[[#This Row],[Análise]]=$V$4),"Atende 7 dias","Atende 30 dias")</f>
        <v>#N/A</v>
      </c>
    </row>
    <row r="184" spans="1:7" x14ac:dyDescent="0.25">
      <c r="A184">
        <f>'Pedidos de Venda'!A190</f>
        <v>0</v>
      </c>
      <c r="B184">
        <f>'Pedidos de Venda'!C190</f>
        <v>0</v>
      </c>
      <c r="C184">
        <f>'Pedidos de Venda'!B190</f>
        <v>0</v>
      </c>
      <c r="D184" s="65" t="e">
        <f>IF(F184&lt;=0, VLOOKUP(C184, [1]Localização!A:R, 18, FALSE), "Em estoque")</f>
        <v>#N/A</v>
      </c>
      <c r="E184" t="e">
        <f>VLOOKUP(Tabela1[[#This Row],[Código (SKU)]],Necessidade!B:P,15,FALSE)</f>
        <v>#N/A</v>
      </c>
      <c r="F184" t="e">
        <f>Tabela1[[#This Row],[Estoque Virtual]]-Tabela1[[#This Row],[Qtd]]</f>
        <v>#N/A</v>
      </c>
      <c r="G184" s="12" t="e">
        <f>IF(OR(Tabela1[[#This Row],[Análise]]="Em estoque",Tabela1[[#This Row],[Análise]]=$V$4),"Atende 7 dias","Atende 30 dias")</f>
        <v>#N/A</v>
      </c>
    </row>
    <row r="185" spans="1:7" x14ac:dyDescent="0.25">
      <c r="A185">
        <f>'Pedidos de Venda'!A191</f>
        <v>0</v>
      </c>
      <c r="B185">
        <f>'Pedidos de Venda'!C191</f>
        <v>0</v>
      </c>
      <c r="C185">
        <f>'Pedidos de Venda'!B191</f>
        <v>0</v>
      </c>
      <c r="D185" s="65" t="e">
        <f>IF(F185&lt;=0, VLOOKUP(C185, [1]Localização!A:R, 18, FALSE), "Em estoque")</f>
        <v>#N/A</v>
      </c>
      <c r="E185" t="e">
        <f>VLOOKUP(Tabela1[[#This Row],[Código (SKU)]],Necessidade!B:P,15,FALSE)</f>
        <v>#N/A</v>
      </c>
      <c r="F185" t="e">
        <f>Tabela1[[#This Row],[Estoque Virtual]]-Tabela1[[#This Row],[Qtd]]</f>
        <v>#N/A</v>
      </c>
      <c r="G185" s="12" t="e">
        <f>IF(OR(Tabela1[[#This Row],[Análise]]="Em estoque",Tabela1[[#This Row],[Análise]]=$V$4),"Atende 7 dias","Atende 30 dias")</f>
        <v>#N/A</v>
      </c>
    </row>
    <row r="186" spans="1:7" x14ac:dyDescent="0.25">
      <c r="A186">
        <f>'Pedidos de Venda'!A192</f>
        <v>0</v>
      </c>
      <c r="B186">
        <f>'Pedidos de Venda'!C192</f>
        <v>0</v>
      </c>
      <c r="C186">
        <f>'Pedidos de Venda'!B192</f>
        <v>0</v>
      </c>
      <c r="D186" s="65" t="e">
        <f>IF(F186&lt;=0, VLOOKUP(C186, [1]Localização!A:R, 18, FALSE), "Em estoque")</f>
        <v>#N/A</v>
      </c>
      <c r="E186" t="e">
        <f>VLOOKUP(Tabela1[[#This Row],[Código (SKU)]],Necessidade!B:P,15,FALSE)</f>
        <v>#N/A</v>
      </c>
      <c r="F186" t="e">
        <f>Tabela1[[#This Row],[Estoque Virtual]]-Tabela1[[#This Row],[Qtd]]</f>
        <v>#N/A</v>
      </c>
      <c r="G186" s="12" t="e">
        <f>IF(OR(Tabela1[[#This Row],[Análise]]="Em estoque",Tabela1[[#This Row],[Análise]]=$V$4),"Atende 7 dias","Atende 30 dias")</f>
        <v>#N/A</v>
      </c>
    </row>
    <row r="187" spans="1:7" x14ac:dyDescent="0.25">
      <c r="A187">
        <f>'Pedidos de Venda'!A193</f>
        <v>0</v>
      </c>
      <c r="B187">
        <f>'Pedidos de Venda'!C193</f>
        <v>0</v>
      </c>
      <c r="C187">
        <f>'Pedidos de Venda'!B193</f>
        <v>0</v>
      </c>
      <c r="D187" s="65" t="e">
        <f>IF(F187&lt;=0, VLOOKUP(C187, [1]Localização!A:R, 18, FALSE), "Em estoque")</f>
        <v>#N/A</v>
      </c>
      <c r="E187" t="e">
        <f>VLOOKUP(Tabela1[[#This Row],[Código (SKU)]],Necessidade!B:P,15,FALSE)</f>
        <v>#N/A</v>
      </c>
      <c r="F187" t="e">
        <f>Tabela1[[#This Row],[Estoque Virtual]]-Tabela1[[#This Row],[Qtd]]</f>
        <v>#N/A</v>
      </c>
      <c r="G187" s="12" t="e">
        <f>IF(OR(Tabela1[[#This Row],[Análise]]="Em estoque",Tabela1[[#This Row],[Análise]]=$V$4),"Atende 7 dias","Atende 30 dias")</f>
        <v>#N/A</v>
      </c>
    </row>
    <row r="188" spans="1:7" x14ac:dyDescent="0.25">
      <c r="A188">
        <f>'Pedidos de Venda'!A194</f>
        <v>0</v>
      </c>
      <c r="B188">
        <f>'Pedidos de Venda'!C194</f>
        <v>0</v>
      </c>
      <c r="C188">
        <f>'Pedidos de Venda'!B194</f>
        <v>0</v>
      </c>
      <c r="D188" s="65" t="e">
        <f>IF(F188&lt;=0, VLOOKUP(C188, [1]Localização!A:R, 18, FALSE), "Em estoque")</f>
        <v>#N/A</v>
      </c>
      <c r="E188" t="e">
        <f>VLOOKUP(Tabela1[[#This Row],[Código (SKU)]],Necessidade!B:P,15,FALSE)</f>
        <v>#N/A</v>
      </c>
      <c r="F188" t="e">
        <f>Tabela1[[#This Row],[Estoque Virtual]]-Tabela1[[#This Row],[Qtd]]</f>
        <v>#N/A</v>
      </c>
      <c r="G188" s="12" t="e">
        <f>IF(OR(Tabela1[[#This Row],[Análise]]="Em estoque",Tabela1[[#This Row],[Análise]]=$V$4),"Atende 7 dias","Atende 30 dias")</f>
        <v>#N/A</v>
      </c>
    </row>
    <row r="189" spans="1:7" x14ac:dyDescent="0.25">
      <c r="A189">
        <f>'Pedidos de Venda'!A195</f>
        <v>0</v>
      </c>
      <c r="B189">
        <f>'Pedidos de Venda'!C195</f>
        <v>0</v>
      </c>
      <c r="C189">
        <f>'Pedidos de Venda'!B195</f>
        <v>0</v>
      </c>
      <c r="D189" s="65" t="e">
        <f>IF(F189&lt;=0, VLOOKUP(C189, [1]Localização!A:R, 18, FALSE), "Em estoque")</f>
        <v>#N/A</v>
      </c>
      <c r="E189" t="e">
        <f>VLOOKUP(Tabela1[[#This Row],[Código (SKU)]],Necessidade!B:P,15,FALSE)</f>
        <v>#N/A</v>
      </c>
      <c r="F189" t="e">
        <f>Tabela1[[#This Row],[Estoque Virtual]]-Tabela1[[#This Row],[Qtd]]</f>
        <v>#N/A</v>
      </c>
      <c r="G189" s="12" t="e">
        <f>IF(OR(Tabela1[[#This Row],[Análise]]="Em estoque",Tabela1[[#This Row],[Análise]]=$V$4),"Atende 7 dias","Atende 30 dias")</f>
        <v>#N/A</v>
      </c>
    </row>
    <row r="190" spans="1:7" x14ac:dyDescent="0.25">
      <c r="A190">
        <f>'Pedidos de Venda'!A196</f>
        <v>0</v>
      </c>
      <c r="B190">
        <f>'Pedidos de Venda'!C196</f>
        <v>0</v>
      </c>
      <c r="C190">
        <f>'Pedidos de Venda'!B196</f>
        <v>0</v>
      </c>
      <c r="D190" s="65" t="e">
        <f>IF(F190&lt;=0, VLOOKUP(C190, [1]Localização!A:R, 18, FALSE), "Em estoque")</f>
        <v>#N/A</v>
      </c>
      <c r="E190" t="e">
        <f>VLOOKUP(Tabela1[[#This Row],[Código (SKU)]],Necessidade!B:P,15,FALSE)</f>
        <v>#N/A</v>
      </c>
      <c r="F190" t="e">
        <f>Tabela1[[#This Row],[Estoque Virtual]]-Tabela1[[#This Row],[Qtd]]</f>
        <v>#N/A</v>
      </c>
      <c r="G190" s="12" t="e">
        <f>IF(OR(Tabela1[[#This Row],[Análise]]="Em estoque",Tabela1[[#This Row],[Análise]]=$V$4),"Atende 7 dias","Atende 30 dias")</f>
        <v>#N/A</v>
      </c>
    </row>
    <row r="191" spans="1:7" x14ac:dyDescent="0.25">
      <c r="A191">
        <f>'Pedidos de Venda'!A197</f>
        <v>0</v>
      </c>
      <c r="B191">
        <f>'Pedidos de Venda'!C197</f>
        <v>0</v>
      </c>
      <c r="C191">
        <f>'Pedidos de Venda'!B197</f>
        <v>0</v>
      </c>
      <c r="D191" s="65" t="e">
        <f>IF(F191&lt;=0, VLOOKUP(C191, [1]Localização!A:R, 18, FALSE), "Em estoque")</f>
        <v>#N/A</v>
      </c>
      <c r="E191" t="e">
        <f>VLOOKUP(Tabela1[[#This Row],[Código (SKU)]],Necessidade!B:P,15,FALSE)</f>
        <v>#N/A</v>
      </c>
      <c r="F191" t="e">
        <f>Tabela1[[#This Row],[Estoque Virtual]]-Tabela1[[#This Row],[Qtd]]</f>
        <v>#N/A</v>
      </c>
      <c r="G191" s="12" t="e">
        <f>IF(OR(Tabela1[[#This Row],[Análise]]="Em estoque",Tabela1[[#This Row],[Análise]]=$V$4),"Atende 7 dias","Atende 30 dias")</f>
        <v>#N/A</v>
      </c>
    </row>
    <row r="192" spans="1:7" x14ac:dyDescent="0.25">
      <c r="A192">
        <f>'Pedidos de Venda'!A198</f>
        <v>0</v>
      </c>
      <c r="B192">
        <f>'Pedidos de Venda'!C198</f>
        <v>0</v>
      </c>
      <c r="C192">
        <f>'Pedidos de Venda'!B198</f>
        <v>0</v>
      </c>
      <c r="D192" s="65" t="e">
        <f>IF(F192&lt;=0, VLOOKUP(C192, [1]Localização!A:R, 18, FALSE), "Em estoque")</f>
        <v>#N/A</v>
      </c>
      <c r="E192" t="e">
        <f>VLOOKUP(Tabela1[[#This Row],[Código (SKU)]],Necessidade!B:P,15,FALSE)</f>
        <v>#N/A</v>
      </c>
      <c r="F192" t="e">
        <f>Tabela1[[#This Row],[Estoque Virtual]]-Tabela1[[#This Row],[Qtd]]</f>
        <v>#N/A</v>
      </c>
      <c r="G192" s="12" t="e">
        <f>IF(OR(Tabela1[[#This Row],[Análise]]="Em estoque",Tabela1[[#This Row],[Análise]]=$V$4),"Atende 7 dias","Atende 30 dias")</f>
        <v>#N/A</v>
      </c>
    </row>
    <row r="193" spans="1:7" x14ac:dyDescent="0.25">
      <c r="A193">
        <f>'Pedidos de Venda'!A199</f>
        <v>0</v>
      </c>
      <c r="B193">
        <f>'Pedidos de Venda'!C199</f>
        <v>0</v>
      </c>
      <c r="C193">
        <f>'Pedidos de Venda'!B199</f>
        <v>0</v>
      </c>
      <c r="D193" s="65" t="e">
        <f>IF(F193&lt;=0, VLOOKUP(C193, [1]Localização!A:R, 18, FALSE), "Em estoque")</f>
        <v>#N/A</v>
      </c>
      <c r="E193" t="e">
        <f>VLOOKUP(Tabela1[[#This Row],[Código (SKU)]],Necessidade!B:P,15,FALSE)</f>
        <v>#N/A</v>
      </c>
      <c r="F193" t="e">
        <f>Tabela1[[#This Row],[Estoque Virtual]]-Tabela1[[#This Row],[Qtd]]</f>
        <v>#N/A</v>
      </c>
      <c r="G193" s="12" t="e">
        <f>IF(OR(Tabela1[[#This Row],[Análise]]="Em estoque",Tabela1[[#This Row],[Análise]]=$V$4),"Atende 7 dias","Atende 30 dias")</f>
        <v>#N/A</v>
      </c>
    </row>
    <row r="194" spans="1:7" x14ac:dyDescent="0.25">
      <c r="A194">
        <f>'Pedidos de Venda'!A200</f>
        <v>0</v>
      </c>
      <c r="B194">
        <f>'Pedidos de Venda'!C200</f>
        <v>0</v>
      </c>
      <c r="C194">
        <f>'Pedidos de Venda'!B200</f>
        <v>0</v>
      </c>
      <c r="D194" s="65" t="e">
        <f>IF(F194&lt;=0, VLOOKUP(C194, [1]Localização!A:R, 18, FALSE), "Em estoque")</f>
        <v>#N/A</v>
      </c>
      <c r="E194" t="e">
        <f>VLOOKUP(Tabela1[[#This Row],[Código (SKU)]],Necessidade!B:P,15,FALSE)</f>
        <v>#N/A</v>
      </c>
      <c r="F194" t="e">
        <f>Tabela1[[#This Row],[Estoque Virtual]]-Tabela1[[#This Row],[Qtd]]</f>
        <v>#N/A</v>
      </c>
      <c r="G194" s="12" t="e">
        <f>IF(OR(Tabela1[[#This Row],[Análise]]="Em estoque",Tabela1[[#This Row],[Análise]]=$V$4),"Atende 7 dias","Atende 30 dias")</f>
        <v>#N/A</v>
      </c>
    </row>
    <row r="195" spans="1:7" x14ac:dyDescent="0.25">
      <c r="A195">
        <f>'Pedidos de Venda'!A201</f>
        <v>0</v>
      </c>
      <c r="B195">
        <f>'Pedidos de Venda'!C201</f>
        <v>0</v>
      </c>
      <c r="C195">
        <f>'Pedidos de Venda'!B201</f>
        <v>0</v>
      </c>
      <c r="D195" s="65" t="e">
        <f>IF(F195&lt;=0, VLOOKUP(C195, [1]Localização!A:R, 18, FALSE), "Em estoque")</f>
        <v>#N/A</v>
      </c>
      <c r="E195" t="e">
        <f>VLOOKUP(Tabela1[[#This Row],[Código (SKU)]],Necessidade!B:P,15,FALSE)</f>
        <v>#N/A</v>
      </c>
      <c r="F195" t="e">
        <f>Tabela1[[#This Row],[Estoque Virtual]]-Tabela1[[#This Row],[Qtd]]</f>
        <v>#N/A</v>
      </c>
      <c r="G195" s="12" t="e">
        <f>IF(OR(Tabela1[[#This Row],[Análise]]="Em estoque",Tabela1[[#This Row],[Análise]]=$V$4),"Atende 7 dias","Atende 30 dias")</f>
        <v>#N/A</v>
      </c>
    </row>
    <row r="196" spans="1:7" x14ac:dyDescent="0.25">
      <c r="A196">
        <f>'Pedidos de Venda'!A202</f>
        <v>0</v>
      </c>
      <c r="B196">
        <f>'Pedidos de Venda'!C202</f>
        <v>0</v>
      </c>
      <c r="C196">
        <f>'Pedidos de Venda'!B202</f>
        <v>0</v>
      </c>
      <c r="D196" s="65" t="e">
        <f>IF(F196&lt;=0, VLOOKUP(C196, [1]Localização!A:R, 18, FALSE), "Em estoque")</f>
        <v>#N/A</v>
      </c>
      <c r="E196" t="e">
        <f>VLOOKUP(Tabela1[[#This Row],[Código (SKU)]],Necessidade!B:P,15,FALSE)</f>
        <v>#N/A</v>
      </c>
      <c r="F196" t="e">
        <f>Tabela1[[#This Row],[Estoque Virtual]]-Tabela1[[#This Row],[Qtd]]</f>
        <v>#N/A</v>
      </c>
      <c r="G196" s="12" t="e">
        <f>IF(OR(Tabela1[[#This Row],[Análise]]="Em estoque",Tabela1[[#This Row],[Análise]]=$V$4),"Atende 7 dias","Atende 30 dias")</f>
        <v>#N/A</v>
      </c>
    </row>
    <row r="197" spans="1:7" x14ac:dyDescent="0.25">
      <c r="A197">
        <f>'Pedidos de Venda'!A203</f>
        <v>0</v>
      </c>
      <c r="B197">
        <f>'Pedidos de Venda'!C203</f>
        <v>0</v>
      </c>
      <c r="C197">
        <f>'Pedidos de Venda'!B203</f>
        <v>0</v>
      </c>
      <c r="D197" s="65" t="e">
        <f>IF(F197&lt;=0, VLOOKUP(C197, [1]Localização!A:R, 18, FALSE), "Em estoque")</f>
        <v>#N/A</v>
      </c>
      <c r="E197" t="e">
        <f>VLOOKUP(Tabela1[[#This Row],[Código (SKU)]],Necessidade!B:P,15,FALSE)</f>
        <v>#N/A</v>
      </c>
      <c r="F197" t="e">
        <f>Tabela1[[#This Row],[Estoque Virtual]]-Tabela1[[#This Row],[Qtd]]</f>
        <v>#N/A</v>
      </c>
      <c r="G197" s="12" t="e">
        <f>IF(OR(Tabela1[[#This Row],[Análise]]="Em estoque",Tabela1[[#This Row],[Análise]]=$V$4),"Atende 7 dias","Atende 30 dias")</f>
        <v>#N/A</v>
      </c>
    </row>
    <row r="198" spans="1:7" x14ac:dyDescent="0.25">
      <c r="A198">
        <f>'Pedidos de Venda'!A204</f>
        <v>0</v>
      </c>
      <c r="B198">
        <f>'Pedidos de Venda'!C204</f>
        <v>0</v>
      </c>
      <c r="C198">
        <f>'Pedidos de Venda'!B204</f>
        <v>0</v>
      </c>
      <c r="D198" s="65" t="e">
        <f>IF(F198&lt;=0, VLOOKUP(C198, [1]Localização!A:R, 18, FALSE), "Em estoque")</f>
        <v>#N/A</v>
      </c>
      <c r="E198" t="e">
        <f>VLOOKUP(Tabela1[[#This Row],[Código (SKU)]],Necessidade!B:P,15,FALSE)</f>
        <v>#N/A</v>
      </c>
      <c r="F198" t="e">
        <f>Tabela1[[#This Row],[Estoque Virtual]]-Tabela1[[#This Row],[Qtd]]</f>
        <v>#N/A</v>
      </c>
      <c r="G198" s="12" t="e">
        <f>IF(OR(Tabela1[[#This Row],[Análise]]="Em estoque",Tabela1[[#This Row],[Análise]]=$V$4),"Atende 7 dias","Atende 30 dias")</f>
        <v>#N/A</v>
      </c>
    </row>
    <row r="199" spans="1:7" x14ac:dyDescent="0.25">
      <c r="A199">
        <f>'Pedidos de Venda'!A205</f>
        <v>0</v>
      </c>
      <c r="B199">
        <f>'Pedidos de Venda'!C205</f>
        <v>0</v>
      </c>
      <c r="C199">
        <f>'Pedidos de Venda'!B205</f>
        <v>0</v>
      </c>
      <c r="D199" s="65" t="e">
        <f>IF(F199&lt;=0, VLOOKUP(C199, [1]Localização!A:R, 18, FALSE), "Em estoque")</f>
        <v>#N/A</v>
      </c>
      <c r="E199" t="e">
        <f>VLOOKUP(Tabela1[[#This Row],[Código (SKU)]],Necessidade!B:P,15,FALSE)</f>
        <v>#N/A</v>
      </c>
      <c r="F199" t="e">
        <f>Tabela1[[#This Row],[Estoque Virtual]]-Tabela1[[#This Row],[Qtd]]</f>
        <v>#N/A</v>
      </c>
      <c r="G199" s="12" t="e">
        <f>IF(OR(Tabela1[[#This Row],[Análise]]="Em estoque",Tabela1[[#This Row],[Análise]]=$V$4),"Atende 7 dias","Atende 30 dias")</f>
        <v>#N/A</v>
      </c>
    </row>
    <row r="200" spans="1:7" x14ac:dyDescent="0.25">
      <c r="A200">
        <f>'Pedidos de Venda'!A206</f>
        <v>0</v>
      </c>
      <c r="B200">
        <f>'Pedidos de Venda'!C206</f>
        <v>0</v>
      </c>
      <c r="C200">
        <f>'Pedidos de Venda'!B206</f>
        <v>0</v>
      </c>
      <c r="D200" s="65" t="e">
        <f>IF(F200&lt;=0, VLOOKUP(C200, [1]Localização!A:R, 18, FALSE), "Em estoque")</f>
        <v>#N/A</v>
      </c>
      <c r="E200" t="e">
        <f>VLOOKUP(Tabela1[[#This Row],[Código (SKU)]],Necessidade!B:P,15,FALSE)</f>
        <v>#N/A</v>
      </c>
      <c r="F200" t="e">
        <f>Tabela1[[#This Row],[Estoque Virtual]]-Tabela1[[#This Row],[Qtd]]</f>
        <v>#N/A</v>
      </c>
      <c r="G200" s="12" t="e">
        <f>IF(OR(Tabela1[[#This Row],[Análise]]="Em estoque",Tabela1[[#This Row],[Análise]]=$V$4),"Atende 7 dias","Atende 30 dias")</f>
        <v>#N/A</v>
      </c>
    </row>
    <row r="201" spans="1:7" x14ac:dyDescent="0.25">
      <c r="A201">
        <f>'Pedidos de Venda'!A207</f>
        <v>0</v>
      </c>
      <c r="B201">
        <f>'Pedidos de Venda'!C207</f>
        <v>0</v>
      </c>
      <c r="C201">
        <f>'Pedidos de Venda'!B207</f>
        <v>0</v>
      </c>
      <c r="D201" s="65" t="e">
        <f>IF(F201&lt;=0, VLOOKUP(C201, [1]Localização!A:R, 18, FALSE), "Em estoque")</f>
        <v>#N/A</v>
      </c>
      <c r="E201" t="e">
        <f>VLOOKUP(Tabela1[[#This Row],[Código (SKU)]],Necessidade!B:P,15,FALSE)</f>
        <v>#N/A</v>
      </c>
      <c r="F201" t="e">
        <f>Tabela1[[#This Row],[Estoque Virtual]]-Tabela1[[#This Row],[Qtd]]</f>
        <v>#N/A</v>
      </c>
      <c r="G201" s="12" t="e">
        <f>IF(OR(Tabela1[[#This Row],[Análise]]="Em estoque",Tabela1[[#This Row],[Análise]]=$V$4),"Atende 7 dias","Atende 30 dias")</f>
        <v>#N/A</v>
      </c>
    </row>
    <row r="202" spans="1:7" x14ac:dyDescent="0.25">
      <c r="A202">
        <f>'Pedidos de Venda'!A208</f>
        <v>0</v>
      </c>
      <c r="B202">
        <f>'Pedidos de Venda'!C208</f>
        <v>0</v>
      </c>
      <c r="C202">
        <f>'Pedidos de Venda'!B208</f>
        <v>0</v>
      </c>
      <c r="D202" s="65" t="e">
        <f>IF(F202&lt;=0, VLOOKUP(C202, [1]Localização!A:R, 18, FALSE), "Em estoque")</f>
        <v>#N/A</v>
      </c>
      <c r="E202" t="e">
        <f>VLOOKUP(Tabela1[[#This Row],[Código (SKU)]],Necessidade!B:P,15,FALSE)</f>
        <v>#N/A</v>
      </c>
      <c r="F202" t="e">
        <f>Tabela1[[#This Row],[Estoque Virtual]]-Tabela1[[#This Row],[Qtd]]</f>
        <v>#N/A</v>
      </c>
      <c r="G202" s="12" t="e">
        <f>IF(OR(Tabela1[[#This Row],[Análise]]="Em estoque",Tabela1[[#This Row],[Análise]]=$V$4),"Atende 7 dias","Atende 30 dias")</f>
        <v>#N/A</v>
      </c>
    </row>
    <row r="203" spans="1:7" x14ac:dyDescent="0.25">
      <c r="A203">
        <f>'Pedidos de Venda'!A209</f>
        <v>0</v>
      </c>
      <c r="B203">
        <f>'Pedidos de Venda'!C209</f>
        <v>0</v>
      </c>
      <c r="C203">
        <f>'Pedidos de Venda'!B209</f>
        <v>0</v>
      </c>
      <c r="D203" s="65" t="e">
        <f>IF(F203&lt;=0, VLOOKUP(C203, [1]Localização!A:R, 18, FALSE), "Em estoque")</f>
        <v>#N/A</v>
      </c>
      <c r="E203" t="e">
        <f>VLOOKUP(Tabela1[[#This Row],[Código (SKU)]],Necessidade!B:P,15,FALSE)</f>
        <v>#N/A</v>
      </c>
      <c r="F203" t="e">
        <f>Tabela1[[#This Row],[Estoque Virtual]]-Tabela1[[#This Row],[Qtd]]</f>
        <v>#N/A</v>
      </c>
      <c r="G203" s="12" t="e">
        <f>IF(OR(Tabela1[[#This Row],[Análise]]="Em estoque",Tabela1[[#This Row],[Análise]]=$V$4),"Atende 7 dias","Atende 30 dias")</f>
        <v>#N/A</v>
      </c>
    </row>
    <row r="204" spans="1:7" x14ac:dyDescent="0.25">
      <c r="A204">
        <f>'Pedidos de Venda'!A210</f>
        <v>0</v>
      </c>
      <c r="B204">
        <f>'Pedidos de Venda'!C210</f>
        <v>0</v>
      </c>
      <c r="C204">
        <f>'Pedidos de Venda'!B210</f>
        <v>0</v>
      </c>
      <c r="D204" s="65" t="e">
        <f>IF(F204&lt;=0, VLOOKUP(C204, [1]Localização!A:R, 18, FALSE), "Em estoque")</f>
        <v>#N/A</v>
      </c>
      <c r="E204" t="e">
        <f>VLOOKUP(Tabela1[[#This Row],[Código (SKU)]],Necessidade!B:P,15,FALSE)</f>
        <v>#N/A</v>
      </c>
      <c r="F204" t="e">
        <f>Tabela1[[#This Row],[Estoque Virtual]]-Tabela1[[#This Row],[Qtd]]</f>
        <v>#N/A</v>
      </c>
      <c r="G204" s="12" t="e">
        <f>IF(OR(Tabela1[[#This Row],[Análise]]="Em estoque",Tabela1[[#This Row],[Análise]]=$V$4),"Atende 7 dias","Atende 30 dias")</f>
        <v>#N/A</v>
      </c>
    </row>
    <row r="205" spans="1:7" x14ac:dyDescent="0.25">
      <c r="A205">
        <f>'Pedidos de Venda'!A211</f>
        <v>0</v>
      </c>
      <c r="B205">
        <f>'Pedidos de Venda'!C211</f>
        <v>0</v>
      </c>
      <c r="C205">
        <f>'Pedidos de Venda'!B211</f>
        <v>0</v>
      </c>
      <c r="D205" s="65" t="e">
        <f>IF(F205&lt;=0, VLOOKUP(C205, [1]Localização!A:R, 18, FALSE), "Em estoque")</f>
        <v>#N/A</v>
      </c>
      <c r="E205" t="e">
        <f>VLOOKUP(Tabela1[[#This Row],[Código (SKU)]],Necessidade!B:P,15,FALSE)</f>
        <v>#N/A</v>
      </c>
      <c r="F205" t="e">
        <f>Tabela1[[#This Row],[Estoque Virtual]]-Tabela1[[#This Row],[Qtd]]</f>
        <v>#N/A</v>
      </c>
      <c r="G205" s="12" t="e">
        <f>IF(OR(Tabela1[[#This Row],[Análise]]="Em estoque",Tabela1[[#This Row],[Análise]]=$V$4),"Atende 7 dias","Atende 30 dias")</f>
        <v>#N/A</v>
      </c>
    </row>
    <row r="206" spans="1:7" x14ac:dyDescent="0.25">
      <c r="A206">
        <f>'Pedidos de Venda'!A212</f>
        <v>0</v>
      </c>
      <c r="B206">
        <f>'Pedidos de Venda'!C212</f>
        <v>0</v>
      </c>
      <c r="C206">
        <f>'Pedidos de Venda'!B212</f>
        <v>0</v>
      </c>
      <c r="D206" s="65" t="e">
        <f>IF(F206&lt;=0, VLOOKUP(C206, [1]Localização!A:R, 18, FALSE), "Em estoque")</f>
        <v>#N/A</v>
      </c>
      <c r="E206" t="e">
        <f>VLOOKUP(Tabela1[[#This Row],[Código (SKU)]],Necessidade!B:P,15,FALSE)</f>
        <v>#N/A</v>
      </c>
      <c r="F206" t="e">
        <f>Tabela1[[#This Row],[Estoque Virtual]]-Tabela1[[#This Row],[Qtd]]</f>
        <v>#N/A</v>
      </c>
      <c r="G206" s="12" t="e">
        <f>IF(OR(Tabela1[[#This Row],[Análise]]="Em estoque",Tabela1[[#This Row],[Análise]]=$V$4),"Atende 7 dias","Atende 30 dias")</f>
        <v>#N/A</v>
      </c>
    </row>
    <row r="207" spans="1:7" x14ac:dyDescent="0.25">
      <c r="A207">
        <f>'Pedidos de Venda'!A213</f>
        <v>0</v>
      </c>
      <c r="B207">
        <f>'Pedidos de Venda'!C213</f>
        <v>0</v>
      </c>
      <c r="C207">
        <f>'Pedidos de Venda'!B213</f>
        <v>0</v>
      </c>
      <c r="D207" s="65" t="e">
        <f>IF(F207&lt;=0, VLOOKUP(C207, [1]Localização!A:R, 18, FALSE), "Em estoque")</f>
        <v>#N/A</v>
      </c>
      <c r="E207" t="e">
        <f>VLOOKUP(Tabela1[[#This Row],[Código (SKU)]],Necessidade!B:P,15,FALSE)</f>
        <v>#N/A</v>
      </c>
      <c r="F207" t="e">
        <f>Tabela1[[#This Row],[Estoque Virtual]]-Tabela1[[#This Row],[Qtd]]</f>
        <v>#N/A</v>
      </c>
      <c r="G207" s="12" t="e">
        <f>IF(OR(Tabela1[[#This Row],[Análise]]="Em estoque",Tabela1[[#This Row],[Análise]]=$V$4),"Atende 7 dias","Atende 30 dias")</f>
        <v>#N/A</v>
      </c>
    </row>
    <row r="208" spans="1:7" x14ac:dyDescent="0.25">
      <c r="A208">
        <f>'Pedidos de Venda'!A214</f>
        <v>0</v>
      </c>
      <c r="B208">
        <f>'Pedidos de Venda'!C214</f>
        <v>0</v>
      </c>
      <c r="C208">
        <f>'Pedidos de Venda'!B214</f>
        <v>0</v>
      </c>
      <c r="D208" s="65" t="e">
        <f>IF(F208&lt;=0, VLOOKUP(C208, [1]Localização!A:R, 18, FALSE), "Em estoque")</f>
        <v>#N/A</v>
      </c>
      <c r="E208" t="e">
        <f>VLOOKUP(Tabela1[[#This Row],[Código (SKU)]],Necessidade!B:P,15,FALSE)</f>
        <v>#N/A</v>
      </c>
      <c r="F208" t="e">
        <f>Tabela1[[#This Row],[Estoque Virtual]]-Tabela1[[#This Row],[Qtd]]</f>
        <v>#N/A</v>
      </c>
      <c r="G208" s="12" t="e">
        <f>IF(OR(Tabela1[[#This Row],[Análise]]="Em estoque",Tabela1[[#This Row],[Análise]]=$V$4),"Atende 7 dias","Atende 30 dias")</f>
        <v>#N/A</v>
      </c>
    </row>
    <row r="209" spans="1:7" x14ac:dyDescent="0.25">
      <c r="A209">
        <f>'Pedidos de Venda'!A215</f>
        <v>0</v>
      </c>
      <c r="B209">
        <f>'Pedidos de Venda'!C215</f>
        <v>0</v>
      </c>
      <c r="C209">
        <f>'Pedidos de Venda'!B215</f>
        <v>0</v>
      </c>
      <c r="D209" s="65" t="e">
        <f>IF(F209&lt;=0, VLOOKUP(C209, [1]Localização!A:R, 18, FALSE), "Em estoque")</f>
        <v>#N/A</v>
      </c>
      <c r="E209" t="e">
        <f>VLOOKUP(Tabela1[[#This Row],[Código (SKU)]],Necessidade!B:P,15,FALSE)</f>
        <v>#N/A</v>
      </c>
      <c r="F209" t="e">
        <f>Tabela1[[#This Row],[Estoque Virtual]]-Tabela1[[#This Row],[Qtd]]</f>
        <v>#N/A</v>
      </c>
      <c r="G209" s="12" t="e">
        <f>IF(OR(Tabela1[[#This Row],[Análise]]="Em estoque",Tabela1[[#This Row],[Análise]]=$V$4),"Atende 7 dias","Atende 30 dias")</f>
        <v>#N/A</v>
      </c>
    </row>
    <row r="210" spans="1:7" x14ac:dyDescent="0.25">
      <c r="A210">
        <f>'Pedidos de Venda'!A216</f>
        <v>0</v>
      </c>
      <c r="B210">
        <f>'Pedidos de Venda'!C216</f>
        <v>0</v>
      </c>
      <c r="C210">
        <f>'Pedidos de Venda'!B216</f>
        <v>0</v>
      </c>
      <c r="D210" s="65" t="e">
        <f>IF(F210&lt;=0, VLOOKUP(C210, [1]Localização!A:R, 18, FALSE), "Em estoque")</f>
        <v>#N/A</v>
      </c>
      <c r="E210" t="e">
        <f>VLOOKUP(Tabela1[[#This Row],[Código (SKU)]],Necessidade!B:P,15,FALSE)</f>
        <v>#N/A</v>
      </c>
      <c r="F210" t="e">
        <f>Tabela1[[#This Row],[Estoque Virtual]]-Tabela1[[#This Row],[Qtd]]</f>
        <v>#N/A</v>
      </c>
      <c r="G210" s="12" t="e">
        <f>IF(OR(Tabela1[[#This Row],[Análise]]="Em estoque",Tabela1[[#This Row],[Análise]]=$V$4),"Atende 7 dias","Atende 30 dias")</f>
        <v>#N/A</v>
      </c>
    </row>
    <row r="211" spans="1:7" x14ac:dyDescent="0.25">
      <c r="A211">
        <f>'Pedidos de Venda'!A217</f>
        <v>0</v>
      </c>
      <c r="B211">
        <f>'Pedidos de Venda'!C217</f>
        <v>0</v>
      </c>
      <c r="C211">
        <f>'Pedidos de Venda'!B217</f>
        <v>0</v>
      </c>
      <c r="D211" s="65" t="e">
        <f>IF(F211&lt;=0, VLOOKUP(C211, [1]Localização!A:R, 18, FALSE), "Em estoque")</f>
        <v>#N/A</v>
      </c>
      <c r="E211" t="e">
        <f>VLOOKUP(Tabela1[[#This Row],[Código (SKU)]],Necessidade!B:P,15,FALSE)</f>
        <v>#N/A</v>
      </c>
      <c r="F211" t="e">
        <f>Tabela1[[#This Row],[Estoque Virtual]]-Tabela1[[#This Row],[Qtd]]</f>
        <v>#N/A</v>
      </c>
      <c r="G211" s="12" t="e">
        <f>IF(OR(Tabela1[[#This Row],[Análise]]="Em estoque",Tabela1[[#This Row],[Análise]]=$V$4),"Atende 7 dias","Atende 30 dias")</f>
        <v>#N/A</v>
      </c>
    </row>
    <row r="212" spans="1:7" x14ac:dyDescent="0.25">
      <c r="A212">
        <f>'Pedidos de Venda'!A218</f>
        <v>0</v>
      </c>
      <c r="B212">
        <f>'Pedidos de Venda'!C218</f>
        <v>0</v>
      </c>
      <c r="C212">
        <f>'Pedidos de Venda'!B218</f>
        <v>0</v>
      </c>
      <c r="D212" s="65" t="e">
        <f>IF(F212&lt;=0, VLOOKUP(C212, [1]Localização!A:R, 18, FALSE), "Em estoque")</f>
        <v>#N/A</v>
      </c>
      <c r="E212" t="e">
        <f>VLOOKUP(Tabela1[[#This Row],[Código (SKU)]],Necessidade!B:P,15,FALSE)</f>
        <v>#N/A</v>
      </c>
      <c r="F212" t="e">
        <f>Tabela1[[#This Row],[Estoque Virtual]]-Tabela1[[#This Row],[Qtd]]</f>
        <v>#N/A</v>
      </c>
      <c r="G212" s="12" t="e">
        <f>IF(OR(Tabela1[[#This Row],[Análise]]="Em estoque",Tabela1[[#This Row],[Análise]]=$V$4),"Atende 7 dias","Atende 30 dias")</f>
        <v>#N/A</v>
      </c>
    </row>
    <row r="213" spans="1:7" x14ac:dyDescent="0.25">
      <c r="A213">
        <f>'Pedidos de Venda'!A219</f>
        <v>0</v>
      </c>
      <c r="B213">
        <f>'Pedidos de Venda'!C219</f>
        <v>0</v>
      </c>
      <c r="C213">
        <f>'Pedidos de Venda'!B219</f>
        <v>0</v>
      </c>
      <c r="D213" s="65" t="e">
        <f>IF(F213&lt;=0, VLOOKUP(C213, [1]Localização!A:R, 18, FALSE), "Em estoque")</f>
        <v>#N/A</v>
      </c>
      <c r="E213" t="e">
        <f>VLOOKUP(Tabela1[[#This Row],[Código (SKU)]],Necessidade!B:P,15,FALSE)</f>
        <v>#N/A</v>
      </c>
      <c r="F213" t="e">
        <f>Tabela1[[#This Row],[Estoque Virtual]]-Tabela1[[#This Row],[Qtd]]</f>
        <v>#N/A</v>
      </c>
      <c r="G213" s="12" t="e">
        <f>IF(OR(Tabela1[[#This Row],[Análise]]="Em estoque",Tabela1[[#This Row],[Análise]]=$V$4),"Atende 7 dias","Atende 30 dias")</f>
        <v>#N/A</v>
      </c>
    </row>
    <row r="214" spans="1:7" x14ac:dyDescent="0.25">
      <c r="A214">
        <f>'Pedidos de Venda'!A220</f>
        <v>0</v>
      </c>
      <c r="B214">
        <f>'Pedidos de Venda'!C220</f>
        <v>0</v>
      </c>
      <c r="C214">
        <f>'Pedidos de Venda'!B220</f>
        <v>0</v>
      </c>
      <c r="D214" s="65" t="e">
        <f>IF(F214&lt;=0, VLOOKUP(C214, [1]Localização!A:R, 18, FALSE), "Em estoque")</f>
        <v>#N/A</v>
      </c>
      <c r="E214" t="e">
        <f>VLOOKUP(Tabela1[[#This Row],[Código (SKU)]],Necessidade!B:P,15,FALSE)</f>
        <v>#N/A</v>
      </c>
      <c r="F214" t="e">
        <f>Tabela1[[#This Row],[Estoque Virtual]]-Tabela1[[#This Row],[Qtd]]</f>
        <v>#N/A</v>
      </c>
      <c r="G214" s="12" t="e">
        <f>IF(OR(Tabela1[[#This Row],[Análise]]="Em estoque",Tabela1[[#This Row],[Análise]]=$V$4),"Atende 7 dias","Atende 30 dias")</f>
        <v>#N/A</v>
      </c>
    </row>
    <row r="215" spans="1:7" x14ac:dyDescent="0.25">
      <c r="A215">
        <f>'Pedidos de Venda'!A221</f>
        <v>0</v>
      </c>
      <c r="B215">
        <f>'Pedidos de Venda'!C221</f>
        <v>0</v>
      </c>
      <c r="C215">
        <f>'Pedidos de Venda'!B221</f>
        <v>0</v>
      </c>
      <c r="D215" s="65" t="e">
        <f>IF(F215&lt;=0, VLOOKUP(C215, [1]Localização!A:R, 18, FALSE), "Em estoque")</f>
        <v>#N/A</v>
      </c>
      <c r="E215" t="e">
        <f>VLOOKUP(Tabela1[[#This Row],[Código (SKU)]],Necessidade!B:P,15,FALSE)</f>
        <v>#N/A</v>
      </c>
      <c r="F215" t="e">
        <f>Tabela1[[#This Row],[Estoque Virtual]]-Tabela1[[#This Row],[Qtd]]</f>
        <v>#N/A</v>
      </c>
      <c r="G215" s="12" t="e">
        <f>IF(OR(Tabela1[[#This Row],[Análise]]="Em estoque",Tabela1[[#This Row],[Análise]]=$V$4),"Atende 7 dias","Atende 30 dias")</f>
        <v>#N/A</v>
      </c>
    </row>
    <row r="216" spans="1:7" x14ac:dyDescent="0.25">
      <c r="A216">
        <f>'Pedidos de Venda'!A222</f>
        <v>0</v>
      </c>
      <c r="B216">
        <f>'Pedidos de Venda'!C222</f>
        <v>0</v>
      </c>
      <c r="C216">
        <f>'Pedidos de Venda'!B222</f>
        <v>0</v>
      </c>
      <c r="D216" s="65" t="e">
        <f>IF(F216&lt;=0, VLOOKUP(C216, [1]Localização!A:R, 18, FALSE), "Em estoque")</f>
        <v>#N/A</v>
      </c>
      <c r="E216" t="e">
        <f>VLOOKUP(Tabela1[[#This Row],[Código (SKU)]],Necessidade!B:P,15,FALSE)</f>
        <v>#N/A</v>
      </c>
      <c r="F216" t="e">
        <f>Tabela1[[#This Row],[Estoque Virtual]]-Tabela1[[#This Row],[Qtd]]</f>
        <v>#N/A</v>
      </c>
      <c r="G216" s="12" t="e">
        <f>IF(OR(Tabela1[[#This Row],[Análise]]="Em estoque",Tabela1[[#This Row],[Análise]]=$V$4),"Atende 7 dias","Atende 30 dias")</f>
        <v>#N/A</v>
      </c>
    </row>
    <row r="217" spans="1:7" x14ac:dyDescent="0.25">
      <c r="A217">
        <f>'Pedidos de Venda'!A223</f>
        <v>0</v>
      </c>
      <c r="B217">
        <f>'Pedidos de Venda'!C223</f>
        <v>0</v>
      </c>
      <c r="C217">
        <f>'Pedidos de Venda'!B223</f>
        <v>0</v>
      </c>
      <c r="D217" s="65" t="e">
        <f>IF(F217&lt;=0, VLOOKUP(C217, [1]Localização!A:R, 18, FALSE), "Em estoque")</f>
        <v>#N/A</v>
      </c>
      <c r="E217" t="e">
        <f>VLOOKUP(Tabela1[[#This Row],[Código (SKU)]],Necessidade!B:P,15,FALSE)</f>
        <v>#N/A</v>
      </c>
      <c r="F217" t="e">
        <f>Tabela1[[#This Row],[Estoque Virtual]]-Tabela1[[#This Row],[Qtd]]</f>
        <v>#N/A</v>
      </c>
      <c r="G217" s="12" t="e">
        <f>IF(OR(Tabela1[[#This Row],[Análise]]="Em estoque",Tabela1[[#This Row],[Análise]]=$V$4),"Atende 7 dias","Atende 30 dias")</f>
        <v>#N/A</v>
      </c>
    </row>
    <row r="218" spans="1:7" x14ac:dyDescent="0.25">
      <c r="A218">
        <f>'Pedidos de Venda'!A224</f>
        <v>0</v>
      </c>
      <c r="B218">
        <f>'Pedidos de Venda'!C224</f>
        <v>0</v>
      </c>
      <c r="C218">
        <f>'Pedidos de Venda'!B224</f>
        <v>0</v>
      </c>
      <c r="D218" s="65" t="e">
        <f>IF(F218&lt;=0, VLOOKUP(C218, [1]Localização!A:R, 18, FALSE), "Em estoque")</f>
        <v>#N/A</v>
      </c>
      <c r="E218" t="e">
        <f>VLOOKUP(Tabela1[[#This Row],[Código (SKU)]],Necessidade!B:P,15,FALSE)</f>
        <v>#N/A</v>
      </c>
      <c r="F218" t="e">
        <f>Tabela1[[#This Row],[Estoque Virtual]]-Tabela1[[#This Row],[Qtd]]</f>
        <v>#N/A</v>
      </c>
      <c r="G218" s="12" t="e">
        <f>IF(OR(Tabela1[[#This Row],[Análise]]="Em estoque",Tabela1[[#This Row],[Análise]]=$V$4),"Atende 7 dias","Atende 30 dias")</f>
        <v>#N/A</v>
      </c>
    </row>
    <row r="219" spans="1:7" x14ac:dyDescent="0.25">
      <c r="A219">
        <f>'Pedidos de Venda'!A225</f>
        <v>0</v>
      </c>
      <c r="B219">
        <f>'Pedidos de Venda'!C225</f>
        <v>0</v>
      </c>
      <c r="C219">
        <f>'Pedidos de Venda'!B225</f>
        <v>0</v>
      </c>
      <c r="D219" s="65" t="e">
        <f>IF(F219&lt;=0, VLOOKUP(C219, [1]Localização!A:R, 18, FALSE), "Em estoque")</f>
        <v>#N/A</v>
      </c>
      <c r="E219" t="e">
        <f>VLOOKUP(Tabela1[[#This Row],[Código (SKU)]],Necessidade!B:P,15,FALSE)</f>
        <v>#N/A</v>
      </c>
      <c r="F219" t="e">
        <f>Tabela1[[#This Row],[Estoque Virtual]]-Tabela1[[#This Row],[Qtd]]</f>
        <v>#N/A</v>
      </c>
      <c r="G219" s="12" t="e">
        <f>IF(OR(Tabela1[[#This Row],[Análise]]="Em estoque",Tabela1[[#This Row],[Análise]]=$V$4),"Atende 7 dias","Atende 30 dias")</f>
        <v>#N/A</v>
      </c>
    </row>
    <row r="220" spans="1:7" x14ac:dyDescent="0.25">
      <c r="A220">
        <f>'Pedidos de Venda'!A226</f>
        <v>0</v>
      </c>
      <c r="B220">
        <f>'Pedidos de Venda'!C226</f>
        <v>0</v>
      </c>
      <c r="C220">
        <f>'Pedidos de Venda'!B226</f>
        <v>0</v>
      </c>
      <c r="D220" s="65" t="e">
        <f>IF(F220&lt;=0, VLOOKUP(C220, [1]Localização!A:R, 18, FALSE), "Em estoque")</f>
        <v>#N/A</v>
      </c>
      <c r="E220" t="e">
        <f>VLOOKUP(Tabela1[[#This Row],[Código (SKU)]],Necessidade!B:P,15,FALSE)</f>
        <v>#N/A</v>
      </c>
      <c r="F220" t="e">
        <f>Tabela1[[#This Row],[Estoque Virtual]]-Tabela1[[#This Row],[Qtd]]</f>
        <v>#N/A</v>
      </c>
      <c r="G220" s="12" t="e">
        <f>IF(OR(Tabela1[[#This Row],[Análise]]="Em estoque",Tabela1[[#This Row],[Análise]]=$V$4),"Atende 7 dias","Atende 30 dias")</f>
        <v>#N/A</v>
      </c>
    </row>
    <row r="221" spans="1:7" x14ac:dyDescent="0.25">
      <c r="A221">
        <f>'Pedidos de Venda'!A227</f>
        <v>0</v>
      </c>
      <c r="B221">
        <f>'Pedidos de Venda'!C227</f>
        <v>0</v>
      </c>
      <c r="C221">
        <f>'Pedidos de Venda'!B227</f>
        <v>0</v>
      </c>
      <c r="D221" s="65" t="e">
        <f>IF(F221&lt;=0, VLOOKUP(C221, [1]Localização!A:R, 18, FALSE), "Em estoque")</f>
        <v>#N/A</v>
      </c>
      <c r="E221" t="e">
        <f>VLOOKUP(Tabela1[[#This Row],[Código (SKU)]],Necessidade!B:P,15,FALSE)</f>
        <v>#N/A</v>
      </c>
      <c r="F221" t="e">
        <f>Tabela1[[#This Row],[Estoque Virtual]]-Tabela1[[#This Row],[Qtd]]</f>
        <v>#N/A</v>
      </c>
      <c r="G221" s="12" t="e">
        <f>IF(OR(Tabela1[[#This Row],[Análise]]="Em estoque",Tabela1[[#This Row],[Análise]]=$V$4),"Atende 7 dias","Atende 30 dias")</f>
        <v>#N/A</v>
      </c>
    </row>
    <row r="222" spans="1:7" x14ac:dyDescent="0.25">
      <c r="A222">
        <f>'Pedidos de Venda'!A228</f>
        <v>0</v>
      </c>
      <c r="B222">
        <f>'Pedidos de Venda'!C228</f>
        <v>0</v>
      </c>
      <c r="C222">
        <f>'Pedidos de Venda'!B228</f>
        <v>0</v>
      </c>
      <c r="D222" s="65" t="e">
        <f>IF(F222&lt;=0, VLOOKUP(C222, [1]Localização!A:R, 18, FALSE), "Em estoque")</f>
        <v>#N/A</v>
      </c>
      <c r="E222" t="e">
        <f>VLOOKUP(Tabela1[[#This Row],[Código (SKU)]],Necessidade!B:P,15,FALSE)</f>
        <v>#N/A</v>
      </c>
      <c r="F222" t="e">
        <f>Tabela1[[#This Row],[Estoque Virtual]]-Tabela1[[#This Row],[Qtd]]</f>
        <v>#N/A</v>
      </c>
      <c r="G222" s="12" t="e">
        <f>IF(OR(Tabela1[[#This Row],[Análise]]="Em estoque",Tabela1[[#This Row],[Análise]]=$V$4),"Atende 7 dias","Atende 30 dias")</f>
        <v>#N/A</v>
      </c>
    </row>
    <row r="223" spans="1:7" x14ac:dyDescent="0.25">
      <c r="A223">
        <f>'Pedidos de Venda'!A229</f>
        <v>0</v>
      </c>
      <c r="B223">
        <f>'Pedidos de Venda'!C229</f>
        <v>0</v>
      </c>
      <c r="C223">
        <f>'Pedidos de Venda'!B229</f>
        <v>0</v>
      </c>
      <c r="D223" s="65" t="e">
        <f>IF(F223&lt;=0, VLOOKUP(C223, [1]Localização!A:R, 18, FALSE), "Em estoque")</f>
        <v>#N/A</v>
      </c>
      <c r="E223" t="e">
        <f>VLOOKUP(Tabela1[[#This Row],[Código (SKU)]],Necessidade!B:P,15,FALSE)</f>
        <v>#N/A</v>
      </c>
      <c r="F223" t="e">
        <f>Tabela1[[#This Row],[Estoque Virtual]]-Tabela1[[#This Row],[Qtd]]</f>
        <v>#N/A</v>
      </c>
      <c r="G223" s="12" t="e">
        <f>IF(OR(Tabela1[[#This Row],[Análise]]="Em estoque",Tabela1[[#This Row],[Análise]]=$V$4),"Atende 7 dias","Atende 30 dias")</f>
        <v>#N/A</v>
      </c>
    </row>
    <row r="224" spans="1:7" x14ac:dyDescent="0.25">
      <c r="A224">
        <f>'Pedidos de Venda'!A230</f>
        <v>0</v>
      </c>
      <c r="B224">
        <f>'Pedidos de Venda'!C230</f>
        <v>0</v>
      </c>
      <c r="C224">
        <f>'Pedidos de Venda'!B230</f>
        <v>0</v>
      </c>
      <c r="D224" s="65" t="e">
        <f>IF(F224&lt;=0, VLOOKUP(C224, [1]Localização!A:R, 18, FALSE), "Em estoque")</f>
        <v>#N/A</v>
      </c>
      <c r="E224" t="e">
        <f>VLOOKUP(Tabela1[[#This Row],[Código (SKU)]],Necessidade!B:P,15,FALSE)</f>
        <v>#N/A</v>
      </c>
      <c r="F224" t="e">
        <f>Tabela1[[#This Row],[Estoque Virtual]]-Tabela1[[#This Row],[Qtd]]</f>
        <v>#N/A</v>
      </c>
      <c r="G224" s="12" t="e">
        <f>IF(OR(Tabela1[[#This Row],[Análise]]="Em estoque",Tabela1[[#This Row],[Análise]]=$V$4),"Atende 7 dias","Atende 30 dias")</f>
        <v>#N/A</v>
      </c>
    </row>
    <row r="225" spans="1:7" x14ac:dyDescent="0.25">
      <c r="A225">
        <f>'Pedidos de Venda'!A231</f>
        <v>0</v>
      </c>
      <c r="B225">
        <f>'Pedidos de Venda'!C231</f>
        <v>0</v>
      </c>
      <c r="C225">
        <f>'Pedidos de Venda'!B231</f>
        <v>0</v>
      </c>
      <c r="D225" s="65" t="e">
        <f>IF(F225&lt;=0, VLOOKUP(C225, [1]Localização!A:R, 18, FALSE), "Em estoque")</f>
        <v>#N/A</v>
      </c>
      <c r="E225" t="e">
        <f>VLOOKUP(Tabela1[[#This Row],[Código (SKU)]],Necessidade!B:P,15,FALSE)</f>
        <v>#N/A</v>
      </c>
      <c r="F225" t="e">
        <f>Tabela1[[#This Row],[Estoque Virtual]]-Tabela1[[#This Row],[Qtd]]</f>
        <v>#N/A</v>
      </c>
      <c r="G225" s="12" t="e">
        <f>IF(OR(Tabela1[[#This Row],[Análise]]="Em estoque",Tabela1[[#This Row],[Análise]]=$V$4),"Atende 7 dias","Atende 30 dias")</f>
        <v>#N/A</v>
      </c>
    </row>
    <row r="226" spans="1:7" x14ac:dyDescent="0.25">
      <c r="A226">
        <f>'Pedidos de Venda'!A232</f>
        <v>0</v>
      </c>
      <c r="B226">
        <f>'Pedidos de Venda'!C232</f>
        <v>0</v>
      </c>
      <c r="C226">
        <f>'Pedidos de Venda'!B232</f>
        <v>0</v>
      </c>
      <c r="D226" s="65" t="e">
        <f>IF(F226&lt;=0, VLOOKUP(C226, [1]Localização!A:R, 18, FALSE), "Em estoque")</f>
        <v>#N/A</v>
      </c>
      <c r="E226" t="e">
        <f>VLOOKUP(Tabela1[[#This Row],[Código (SKU)]],Necessidade!B:P,15,FALSE)</f>
        <v>#N/A</v>
      </c>
      <c r="F226" t="e">
        <f>Tabela1[[#This Row],[Estoque Virtual]]-Tabela1[[#This Row],[Qtd]]</f>
        <v>#N/A</v>
      </c>
      <c r="G226" s="12" t="e">
        <f>IF(OR(Tabela1[[#This Row],[Análise]]="Em estoque",Tabela1[[#This Row],[Análise]]=$V$4),"Atende 7 dias","Atende 30 dias")</f>
        <v>#N/A</v>
      </c>
    </row>
    <row r="227" spans="1:7" x14ac:dyDescent="0.25">
      <c r="A227">
        <f>'Pedidos de Venda'!A233</f>
        <v>0</v>
      </c>
      <c r="B227">
        <f>'Pedidos de Venda'!C233</f>
        <v>0</v>
      </c>
      <c r="C227">
        <f>'Pedidos de Venda'!B233</f>
        <v>0</v>
      </c>
      <c r="D227" s="65" t="e">
        <f>IF(F227&lt;=0, VLOOKUP(C227, [1]Localização!A:R, 18, FALSE), "Em estoque")</f>
        <v>#N/A</v>
      </c>
      <c r="E227" t="e">
        <f>VLOOKUP(Tabela1[[#This Row],[Código (SKU)]],Necessidade!B:P,15,FALSE)</f>
        <v>#N/A</v>
      </c>
      <c r="F227" t="e">
        <f>Tabela1[[#This Row],[Estoque Virtual]]-Tabela1[[#This Row],[Qtd]]</f>
        <v>#N/A</v>
      </c>
      <c r="G227" s="12" t="e">
        <f>IF(OR(Tabela1[[#This Row],[Análise]]="Em estoque",Tabela1[[#This Row],[Análise]]=$V$4),"Atende 7 dias","Atende 30 dias")</f>
        <v>#N/A</v>
      </c>
    </row>
    <row r="228" spans="1:7" x14ac:dyDescent="0.25">
      <c r="A228">
        <f>'Pedidos de Venda'!A234</f>
        <v>0</v>
      </c>
      <c r="B228">
        <f>'Pedidos de Venda'!C234</f>
        <v>0</v>
      </c>
      <c r="C228">
        <f>'Pedidos de Venda'!B234</f>
        <v>0</v>
      </c>
      <c r="D228" s="65" t="e">
        <f>IF(F228&lt;=0, VLOOKUP(C228, [1]Localização!A:R, 18, FALSE), "Em estoque")</f>
        <v>#N/A</v>
      </c>
      <c r="E228" t="e">
        <f>VLOOKUP(Tabela1[[#This Row],[Código (SKU)]],Necessidade!B:P,15,FALSE)</f>
        <v>#N/A</v>
      </c>
      <c r="F228" t="e">
        <f>Tabela1[[#This Row],[Estoque Virtual]]-Tabela1[[#This Row],[Qtd]]</f>
        <v>#N/A</v>
      </c>
      <c r="G228" s="12" t="e">
        <f>IF(OR(Tabela1[[#This Row],[Análise]]="Em estoque",Tabela1[[#This Row],[Análise]]=$V$4),"Atende 7 dias","Atende 30 dias")</f>
        <v>#N/A</v>
      </c>
    </row>
    <row r="229" spans="1:7" x14ac:dyDescent="0.25">
      <c r="A229">
        <f>'Pedidos de Venda'!A235</f>
        <v>0</v>
      </c>
      <c r="B229">
        <f>'Pedidos de Venda'!C235</f>
        <v>0</v>
      </c>
      <c r="C229">
        <f>'Pedidos de Venda'!B235</f>
        <v>0</v>
      </c>
      <c r="D229" s="65" t="e">
        <f>IF(F229&lt;=0, VLOOKUP(C229, [1]Localização!A:R, 18, FALSE), "Em estoque")</f>
        <v>#N/A</v>
      </c>
      <c r="E229" t="e">
        <f>VLOOKUP(Tabela1[[#This Row],[Código (SKU)]],Necessidade!B:P,15,FALSE)</f>
        <v>#N/A</v>
      </c>
      <c r="F229" t="e">
        <f>Tabela1[[#This Row],[Estoque Virtual]]-Tabela1[[#This Row],[Qtd]]</f>
        <v>#N/A</v>
      </c>
      <c r="G229" s="12" t="e">
        <f>IF(OR(Tabela1[[#This Row],[Análise]]="Em estoque",Tabela1[[#This Row],[Análise]]=$V$4),"Atende 7 dias","Atende 30 dias")</f>
        <v>#N/A</v>
      </c>
    </row>
    <row r="230" spans="1:7" x14ac:dyDescent="0.25">
      <c r="A230">
        <f>'Pedidos de Venda'!A236</f>
        <v>0</v>
      </c>
      <c r="B230">
        <f>'Pedidos de Venda'!C236</f>
        <v>0</v>
      </c>
      <c r="C230">
        <f>'Pedidos de Venda'!B236</f>
        <v>0</v>
      </c>
      <c r="D230" s="65" t="e">
        <f>IF(F230&lt;=0, VLOOKUP(C230, [1]Localização!A:R, 18, FALSE), "Em estoque")</f>
        <v>#N/A</v>
      </c>
      <c r="E230" t="e">
        <f>VLOOKUP(Tabela1[[#This Row],[Código (SKU)]],Necessidade!B:P,15,FALSE)</f>
        <v>#N/A</v>
      </c>
      <c r="F230" t="e">
        <f>Tabela1[[#This Row],[Estoque Virtual]]-Tabela1[[#This Row],[Qtd]]</f>
        <v>#N/A</v>
      </c>
      <c r="G230" s="12" t="e">
        <f>IF(OR(Tabela1[[#This Row],[Análise]]="Em estoque",Tabela1[[#This Row],[Análise]]=$V$4),"Atende 7 dias","Atende 30 dias")</f>
        <v>#N/A</v>
      </c>
    </row>
    <row r="231" spans="1:7" x14ac:dyDescent="0.25">
      <c r="A231">
        <f>'Pedidos de Venda'!A237</f>
        <v>0</v>
      </c>
      <c r="B231">
        <f>'Pedidos de Venda'!C237</f>
        <v>0</v>
      </c>
      <c r="C231">
        <f>'Pedidos de Venda'!B237</f>
        <v>0</v>
      </c>
      <c r="D231" s="65" t="e">
        <f>IF(F231&lt;=0, VLOOKUP(C231, [1]Localização!A:R, 18, FALSE), "Em estoque")</f>
        <v>#N/A</v>
      </c>
      <c r="E231" t="e">
        <f>VLOOKUP(Tabela1[[#This Row],[Código (SKU)]],Necessidade!B:P,15,FALSE)</f>
        <v>#N/A</v>
      </c>
      <c r="F231" t="e">
        <f>Tabela1[[#This Row],[Estoque Virtual]]-Tabela1[[#This Row],[Qtd]]</f>
        <v>#N/A</v>
      </c>
      <c r="G231" s="12" t="e">
        <f>IF(OR(Tabela1[[#This Row],[Análise]]="Em estoque",Tabela1[[#This Row],[Análise]]=$V$4),"Atende 7 dias","Atende 30 dias")</f>
        <v>#N/A</v>
      </c>
    </row>
    <row r="232" spans="1:7" x14ac:dyDescent="0.25">
      <c r="A232">
        <f>'Pedidos de Venda'!A238</f>
        <v>0</v>
      </c>
      <c r="B232">
        <f>'Pedidos de Venda'!C238</f>
        <v>0</v>
      </c>
      <c r="C232">
        <f>'Pedidos de Venda'!B238</f>
        <v>0</v>
      </c>
      <c r="D232" s="65" t="e">
        <f>IF(F232&lt;=0, VLOOKUP(C232, [1]Localização!A:R, 18, FALSE), "Em estoque")</f>
        <v>#N/A</v>
      </c>
      <c r="E232" t="e">
        <f>VLOOKUP(Tabela1[[#This Row],[Código (SKU)]],Necessidade!B:P,15,FALSE)</f>
        <v>#N/A</v>
      </c>
      <c r="F232" t="e">
        <f>Tabela1[[#This Row],[Estoque Virtual]]-Tabela1[[#This Row],[Qtd]]</f>
        <v>#N/A</v>
      </c>
      <c r="G232" s="12" t="e">
        <f>IF(OR(Tabela1[[#This Row],[Análise]]="Em estoque",Tabela1[[#This Row],[Análise]]=$V$4),"Atende 7 dias","Atende 30 dias")</f>
        <v>#N/A</v>
      </c>
    </row>
    <row r="233" spans="1:7" x14ac:dyDescent="0.25">
      <c r="A233">
        <f>'Pedidos de Venda'!A239</f>
        <v>0</v>
      </c>
      <c r="B233">
        <f>'Pedidos de Venda'!C239</f>
        <v>0</v>
      </c>
      <c r="C233">
        <f>'Pedidos de Venda'!B239</f>
        <v>0</v>
      </c>
      <c r="D233" s="65" t="e">
        <f>IF(F233&lt;=0, VLOOKUP(C233, [1]Localização!A:R, 18, FALSE), "Em estoque")</f>
        <v>#N/A</v>
      </c>
      <c r="E233" t="e">
        <f>VLOOKUP(Tabela1[[#This Row],[Código (SKU)]],Necessidade!B:P,15,FALSE)</f>
        <v>#N/A</v>
      </c>
      <c r="F233" t="e">
        <f>Tabela1[[#This Row],[Estoque Virtual]]-Tabela1[[#This Row],[Qtd]]</f>
        <v>#N/A</v>
      </c>
      <c r="G233" s="12" t="e">
        <f>IF(OR(Tabela1[[#This Row],[Análise]]="Em estoque",Tabela1[[#This Row],[Análise]]=$V$4),"Atende 7 dias","Atende 30 dias")</f>
        <v>#N/A</v>
      </c>
    </row>
    <row r="234" spans="1:7" x14ac:dyDescent="0.25">
      <c r="A234">
        <f>'Pedidos de Venda'!A240</f>
        <v>0</v>
      </c>
      <c r="B234">
        <f>'Pedidos de Venda'!C240</f>
        <v>0</v>
      </c>
      <c r="C234">
        <f>'Pedidos de Venda'!B240</f>
        <v>0</v>
      </c>
      <c r="D234" s="65" t="e">
        <f>IF(F234&lt;=0, VLOOKUP(C234, [1]Localização!A:R, 18, FALSE), "Em estoque")</f>
        <v>#N/A</v>
      </c>
      <c r="E234" t="e">
        <f>VLOOKUP(Tabela1[[#This Row],[Código (SKU)]],Necessidade!B:P,15,FALSE)</f>
        <v>#N/A</v>
      </c>
      <c r="F234" t="e">
        <f>Tabela1[[#This Row],[Estoque Virtual]]-Tabela1[[#This Row],[Qtd]]</f>
        <v>#N/A</v>
      </c>
      <c r="G234" s="12" t="e">
        <f>IF(OR(Tabela1[[#This Row],[Análise]]="Em estoque",Tabela1[[#This Row],[Análise]]=$V$4),"Atende 7 dias","Atende 30 dias")</f>
        <v>#N/A</v>
      </c>
    </row>
    <row r="235" spans="1:7" x14ac:dyDescent="0.25">
      <c r="A235">
        <f>'Pedidos de Venda'!A241</f>
        <v>0</v>
      </c>
      <c r="B235">
        <f>'Pedidos de Venda'!C241</f>
        <v>0</v>
      </c>
      <c r="C235">
        <f>'Pedidos de Venda'!B241</f>
        <v>0</v>
      </c>
      <c r="D235" s="65" t="e">
        <f>IF(F235&lt;=0, VLOOKUP(C235, [1]Localização!A:R, 18, FALSE), "Em estoque")</f>
        <v>#N/A</v>
      </c>
      <c r="E235" t="e">
        <f>VLOOKUP(Tabela1[[#This Row],[Código (SKU)]],Necessidade!B:P,15,FALSE)</f>
        <v>#N/A</v>
      </c>
      <c r="F235" t="e">
        <f>Tabela1[[#This Row],[Estoque Virtual]]-Tabela1[[#This Row],[Qtd]]</f>
        <v>#N/A</v>
      </c>
      <c r="G235" s="12" t="e">
        <f>IF(OR(Tabela1[[#This Row],[Análise]]="Em estoque",Tabela1[[#This Row],[Análise]]=$V$4),"Atende 7 dias","Atende 30 dias")</f>
        <v>#N/A</v>
      </c>
    </row>
    <row r="236" spans="1:7" x14ac:dyDescent="0.25">
      <c r="A236">
        <f>'Pedidos de Venda'!A242</f>
        <v>0</v>
      </c>
      <c r="B236">
        <f>'Pedidos de Venda'!C242</f>
        <v>0</v>
      </c>
      <c r="C236">
        <f>'Pedidos de Venda'!B242</f>
        <v>0</v>
      </c>
      <c r="D236" s="65" t="e">
        <f>IF(F236&lt;=0, VLOOKUP(C236, [1]Localização!A:R, 18, FALSE), "Em estoque")</f>
        <v>#N/A</v>
      </c>
      <c r="E236" t="e">
        <f>VLOOKUP(Tabela1[[#This Row],[Código (SKU)]],Necessidade!B:P,15,FALSE)</f>
        <v>#N/A</v>
      </c>
      <c r="F236" t="e">
        <f>Tabela1[[#This Row],[Estoque Virtual]]-Tabela1[[#This Row],[Qtd]]</f>
        <v>#N/A</v>
      </c>
      <c r="G236" s="12" t="e">
        <f>IF(OR(Tabela1[[#This Row],[Análise]]="Em estoque",Tabela1[[#This Row],[Análise]]=$V$4),"Atende 7 dias","Atende 30 dias")</f>
        <v>#N/A</v>
      </c>
    </row>
    <row r="237" spans="1:7" x14ac:dyDescent="0.25">
      <c r="A237">
        <f>'Pedidos de Venda'!A243</f>
        <v>0</v>
      </c>
      <c r="B237">
        <f>'Pedidos de Venda'!C243</f>
        <v>0</v>
      </c>
      <c r="C237">
        <f>'Pedidos de Venda'!B243</f>
        <v>0</v>
      </c>
      <c r="D237" s="65" t="e">
        <f>IF(F237&lt;=0, VLOOKUP(C237, [1]Localização!A:R, 18, FALSE), "Em estoque")</f>
        <v>#N/A</v>
      </c>
      <c r="E237" t="e">
        <f>VLOOKUP(Tabela1[[#This Row],[Código (SKU)]],Necessidade!B:P,15,FALSE)</f>
        <v>#N/A</v>
      </c>
      <c r="F237" t="e">
        <f>Tabela1[[#This Row],[Estoque Virtual]]-Tabela1[[#This Row],[Qtd]]</f>
        <v>#N/A</v>
      </c>
      <c r="G237" s="12" t="e">
        <f>IF(OR(Tabela1[[#This Row],[Análise]]="Em estoque",Tabela1[[#This Row],[Análise]]=$V$4),"Atende 7 dias","Atende 30 dias")</f>
        <v>#N/A</v>
      </c>
    </row>
    <row r="238" spans="1:7" x14ac:dyDescent="0.25">
      <c r="A238">
        <f>'Pedidos de Venda'!A244</f>
        <v>0</v>
      </c>
      <c r="B238">
        <f>'Pedidos de Venda'!C244</f>
        <v>0</v>
      </c>
      <c r="C238">
        <f>'Pedidos de Venda'!B244</f>
        <v>0</v>
      </c>
      <c r="D238" s="65" t="e">
        <f>IF(F238&lt;=0, VLOOKUP(C238, [1]Localização!A:R, 18, FALSE), "Em estoque")</f>
        <v>#N/A</v>
      </c>
      <c r="E238" t="e">
        <f>VLOOKUP(Tabela1[[#This Row],[Código (SKU)]],Necessidade!B:P,15,FALSE)</f>
        <v>#N/A</v>
      </c>
      <c r="F238" t="e">
        <f>Tabela1[[#This Row],[Estoque Virtual]]-Tabela1[[#This Row],[Qtd]]</f>
        <v>#N/A</v>
      </c>
      <c r="G238" s="12" t="e">
        <f>IF(OR(Tabela1[[#This Row],[Análise]]="Em estoque",Tabela1[[#This Row],[Análise]]=$V$4),"Atende 7 dias","Atende 30 dias")</f>
        <v>#N/A</v>
      </c>
    </row>
    <row r="239" spans="1:7" x14ac:dyDescent="0.25">
      <c r="A239">
        <f>'Pedidos de Venda'!A245</f>
        <v>0</v>
      </c>
      <c r="B239">
        <f>'Pedidos de Venda'!C245</f>
        <v>0</v>
      </c>
      <c r="C239">
        <f>'Pedidos de Venda'!B245</f>
        <v>0</v>
      </c>
      <c r="D239" s="65" t="e">
        <f>IF(F239&lt;=0, VLOOKUP(C239, [1]Localização!A:R, 18, FALSE), "Em estoque")</f>
        <v>#N/A</v>
      </c>
      <c r="E239" t="e">
        <f>VLOOKUP(Tabela1[[#This Row],[Código (SKU)]],Necessidade!B:P,15,FALSE)</f>
        <v>#N/A</v>
      </c>
      <c r="F239" t="e">
        <f>Tabela1[[#This Row],[Estoque Virtual]]-Tabela1[[#This Row],[Qtd]]</f>
        <v>#N/A</v>
      </c>
      <c r="G239" s="12" t="e">
        <f>IF(OR(Tabela1[[#This Row],[Análise]]="Em estoque",Tabela1[[#This Row],[Análise]]=$V$4),"Atende 7 dias","Atende 30 dias")</f>
        <v>#N/A</v>
      </c>
    </row>
    <row r="240" spans="1:7" x14ac:dyDescent="0.25">
      <c r="A240">
        <f>'Pedidos de Venda'!A246</f>
        <v>0</v>
      </c>
      <c r="B240">
        <f>'Pedidos de Venda'!C246</f>
        <v>0</v>
      </c>
      <c r="C240">
        <f>'Pedidos de Venda'!B246</f>
        <v>0</v>
      </c>
      <c r="D240" s="65" t="e">
        <f>IF(F240&lt;=0, VLOOKUP(C240, [1]Localização!A:R, 18, FALSE), "Em estoque")</f>
        <v>#N/A</v>
      </c>
      <c r="E240" t="e">
        <f>VLOOKUP(Tabela1[[#This Row],[Código (SKU)]],Necessidade!B:P,15,FALSE)</f>
        <v>#N/A</v>
      </c>
      <c r="F240" t="e">
        <f>Tabela1[[#This Row],[Estoque Virtual]]-Tabela1[[#This Row],[Qtd]]</f>
        <v>#N/A</v>
      </c>
      <c r="G240" s="12" t="e">
        <f>IF(OR(Tabela1[[#This Row],[Análise]]="Em estoque",Tabela1[[#This Row],[Análise]]=$V$4),"Atende 7 dias","Atende 30 dias")</f>
        <v>#N/A</v>
      </c>
    </row>
    <row r="241" spans="1:7" x14ac:dyDescent="0.25">
      <c r="A241">
        <f>'Pedidos de Venda'!A247</f>
        <v>0</v>
      </c>
      <c r="B241">
        <f>'Pedidos de Venda'!C247</f>
        <v>0</v>
      </c>
      <c r="C241">
        <f>'Pedidos de Venda'!B247</f>
        <v>0</v>
      </c>
      <c r="D241" s="65" t="e">
        <f>IF(F241&lt;=0, VLOOKUP(C241, [1]Localização!A:R, 18, FALSE), "Em estoque")</f>
        <v>#N/A</v>
      </c>
      <c r="E241" t="e">
        <f>VLOOKUP(Tabela1[[#This Row],[Código (SKU)]],Necessidade!B:P,15,FALSE)</f>
        <v>#N/A</v>
      </c>
      <c r="F241" t="e">
        <f>Tabela1[[#This Row],[Estoque Virtual]]-Tabela1[[#This Row],[Qtd]]</f>
        <v>#N/A</v>
      </c>
      <c r="G241" s="12" t="e">
        <f>IF(OR(Tabela1[[#This Row],[Análise]]="Em estoque",Tabela1[[#This Row],[Análise]]=$V$4),"Atende 7 dias","Atende 30 dias")</f>
        <v>#N/A</v>
      </c>
    </row>
    <row r="242" spans="1:7" x14ac:dyDescent="0.25">
      <c r="A242">
        <f>'Pedidos de Venda'!A248</f>
        <v>0</v>
      </c>
      <c r="B242">
        <f>'Pedidos de Venda'!C248</f>
        <v>0</v>
      </c>
      <c r="C242">
        <f>'Pedidos de Venda'!B248</f>
        <v>0</v>
      </c>
      <c r="D242" s="65" t="e">
        <f>IF(F242&lt;=0, VLOOKUP(C242, [1]Localização!A:R, 18, FALSE), "Em estoque")</f>
        <v>#N/A</v>
      </c>
      <c r="E242" t="e">
        <f>VLOOKUP(Tabela1[[#This Row],[Código (SKU)]],Necessidade!B:P,15,FALSE)</f>
        <v>#N/A</v>
      </c>
      <c r="F242" t="e">
        <f>Tabela1[[#This Row],[Estoque Virtual]]-Tabela1[[#This Row],[Qtd]]</f>
        <v>#N/A</v>
      </c>
      <c r="G242" s="12" t="e">
        <f>IF(OR(Tabela1[[#This Row],[Análise]]="Em estoque",Tabela1[[#This Row],[Análise]]=$V$4),"Atende 7 dias","Atende 30 dias")</f>
        <v>#N/A</v>
      </c>
    </row>
    <row r="243" spans="1:7" x14ac:dyDescent="0.25">
      <c r="A243">
        <f>'Pedidos de Venda'!A249</f>
        <v>0</v>
      </c>
      <c r="B243">
        <f>'Pedidos de Venda'!C249</f>
        <v>0</v>
      </c>
      <c r="C243">
        <f>'Pedidos de Venda'!B249</f>
        <v>0</v>
      </c>
      <c r="D243" s="65" t="e">
        <f>IF(F243&lt;=0, VLOOKUP(C243, [1]Localização!A:R, 18, FALSE), "Em estoque")</f>
        <v>#N/A</v>
      </c>
      <c r="E243" t="e">
        <f>VLOOKUP(Tabela1[[#This Row],[Código (SKU)]],Necessidade!B:P,15,FALSE)</f>
        <v>#N/A</v>
      </c>
      <c r="F243" t="e">
        <f>Tabela1[[#This Row],[Estoque Virtual]]-Tabela1[[#This Row],[Qtd]]</f>
        <v>#N/A</v>
      </c>
      <c r="G243" s="12" t="e">
        <f>IF(OR(Tabela1[[#This Row],[Análise]]="Em estoque",Tabela1[[#This Row],[Análise]]=$V$4),"Atende 7 dias","Atende 30 dias")</f>
        <v>#N/A</v>
      </c>
    </row>
    <row r="244" spans="1:7" x14ac:dyDescent="0.25">
      <c r="A244">
        <f>'Pedidos de Venda'!A250</f>
        <v>0</v>
      </c>
      <c r="B244">
        <f>'Pedidos de Venda'!C250</f>
        <v>0</v>
      </c>
      <c r="C244">
        <f>'Pedidos de Venda'!B250</f>
        <v>0</v>
      </c>
      <c r="D244" s="65" t="e">
        <f>IF(F244&lt;=0, VLOOKUP(C244, [1]Localização!A:R, 18, FALSE), "Em estoque")</f>
        <v>#N/A</v>
      </c>
      <c r="E244" t="e">
        <f>VLOOKUP(Tabela1[[#This Row],[Código (SKU)]],Necessidade!B:P,15,FALSE)</f>
        <v>#N/A</v>
      </c>
      <c r="F244" t="e">
        <f>Tabela1[[#This Row],[Estoque Virtual]]-Tabela1[[#This Row],[Qtd]]</f>
        <v>#N/A</v>
      </c>
      <c r="G244" s="12" t="e">
        <f>IF(OR(Tabela1[[#This Row],[Análise]]="Em estoque",Tabela1[[#This Row],[Análise]]=$V$4),"Atende 7 dias","Atende 30 dias")</f>
        <v>#N/A</v>
      </c>
    </row>
    <row r="245" spans="1:7" x14ac:dyDescent="0.25">
      <c r="A245">
        <f>'Pedidos de Venda'!A251</f>
        <v>0</v>
      </c>
      <c r="B245">
        <f>'Pedidos de Venda'!C251</f>
        <v>0</v>
      </c>
      <c r="C245">
        <f>'Pedidos de Venda'!B251</f>
        <v>0</v>
      </c>
      <c r="D245" s="65" t="e">
        <f>IF(F245&lt;=0, VLOOKUP(C245, [1]Localização!A:R, 18, FALSE), "Em estoque")</f>
        <v>#N/A</v>
      </c>
      <c r="E245" t="e">
        <f>VLOOKUP(Tabela1[[#This Row],[Código (SKU)]],Necessidade!B:P,15,FALSE)</f>
        <v>#N/A</v>
      </c>
      <c r="F245" t="e">
        <f>Tabela1[[#This Row],[Estoque Virtual]]-Tabela1[[#This Row],[Qtd]]</f>
        <v>#N/A</v>
      </c>
      <c r="G245" s="12" t="e">
        <f>IF(OR(Tabela1[[#This Row],[Análise]]="Em estoque",Tabela1[[#This Row],[Análise]]=$V$4),"Atende 7 dias","Atende 30 dias")</f>
        <v>#N/A</v>
      </c>
    </row>
    <row r="246" spans="1:7" x14ac:dyDescent="0.25">
      <c r="A246">
        <f>'Pedidos de Venda'!A252</f>
        <v>0</v>
      </c>
      <c r="B246">
        <f>'Pedidos de Venda'!C252</f>
        <v>0</v>
      </c>
      <c r="C246">
        <f>'Pedidos de Venda'!B252</f>
        <v>0</v>
      </c>
      <c r="D246" s="65" t="e">
        <f>IF(F246&lt;=0, VLOOKUP(C246, [1]Localização!A:R, 18, FALSE), "Em estoque")</f>
        <v>#N/A</v>
      </c>
      <c r="E246" t="e">
        <f>VLOOKUP(Tabela1[[#This Row],[Código (SKU)]],Necessidade!B:P,15,FALSE)</f>
        <v>#N/A</v>
      </c>
      <c r="F246" t="e">
        <f>Tabela1[[#This Row],[Estoque Virtual]]-Tabela1[[#This Row],[Qtd]]</f>
        <v>#N/A</v>
      </c>
      <c r="G246" s="12" t="e">
        <f>IF(OR(Tabela1[[#This Row],[Análise]]="Em estoque",Tabela1[[#This Row],[Análise]]=$V$4),"Atende 7 dias","Atende 30 dias")</f>
        <v>#N/A</v>
      </c>
    </row>
    <row r="247" spans="1:7" x14ac:dyDescent="0.25">
      <c r="A247">
        <f>'Pedidos de Venda'!A253</f>
        <v>0</v>
      </c>
      <c r="B247">
        <f>'Pedidos de Venda'!C253</f>
        <v>0</v>
      </c>
      <c r="C247">
        <f>'Pedidos de Venda'!B253</f>
        <v>0</v>
      </c>
      <c r="D247" s="65" t="e">
        <f>IF(F247&lt;=0, VLOOKUP(C247, [1]Localização!A:R, 18, FALSE), "Em estoque")</f>
        <v>#N/A</v>
      </c>
      <c r="E247" t="e">
        <f>VLOOKUP(Tabela1[[#This Row],[Código (SKU)]],Necessidade!B:P,15,FALSE)</f>
        <v>#N/A</v>
      </c>
      <c r="F247" t="e">
        <f>Tabela1[[#This Row],[Estoque Virtual]]-Tabela1[[#This Row],[Qtd]]</f>
        <v>#N/A</v>
      </c>
      <c r="G247" s="12" t="e">
        <f>IF(OR(Tabela1[[#This Row],[Análise]]="Em estoque",Tabela1[[#This Row],[Análise]]=$V$4),"Atende 7 dias","Atende 30 dias")</f>
        <v>#N/A</v>
      </c>
    </row>
    <row r="248" spans="1:7" x14ac:dyDescent="0.25">
      <c r="A248">
        <f>'Pedidos de Venda'!A254</f>
        <v>0</v>
      </c>
      <c r="B248">
        <f>'Pedidos de Venda'!C254</f>
        <v>0</v>
      </c>
      <c r="C248">
        <f>'Pedidos de Venda'!B254</f>
        <v>0</v>
      </c>
      <c r="D248" s="65" t="e">
        <f>IF(F248&lt;=0, VLOOKUP(C248, [1]Localização!A:R, 18, FALSE), "Em estoque")</f>
        <v>#N/A</v>
      </c>
      <c r="E248" t="e">
        <f>VLOOKUP(Tabela1[[#This Row],[Código (SKU)]],Necessidade!B:P,15,FALSE)</f>
        <v>#N/A</v>
      </c>
      <c r="F248" t="e">
        <f>Tabela1[[#This Row],[Estoque Virtual]]-Tabela1[[#This Row],[Qtd]]</f>
        <v>#N/A</v>
      </c>
      <c r="G248" s="12" t="e">
        <f>IF(OR(Tabela1[[#This Row],[Análise]]="Em estoque",Tabela1[[#This Row],[Análise]]=$V$4),"Atende 7 dias","Atende 30 dias")</f>
        <v>#N/A</v>
      </c>
    </row>
    <row r="249" spans="1:7" x14ac:dyDescent="0.25">
      <c r="A249">
        <f>'Pedidos de Venda'!A255</f>
        <v>0</v>
      </c>
      <c r="B249">
        <f>'Pedidos de Venda'!C255</f>
        <v>0</v>
      </c>
      <c r="C249">
        <f>'Pedidos de Venda'!B255</f>
        <v>0</v>
      </c>
      <c r="D249" s="65" t="e">
        <f>IF(F249&lt;=0, VLOOKUP(C249, [1]Localização!A:R, 18, FALSE), "Em estoque")</f>
        <v>#N/A</v>
      </c>
      <c r="E249" t="e">
        <f>VLOOKUP(Tabela1[[#This Row],[Código (SKU)]],Necessidade!B:P,15,FALSE)</f>
        <v>#N/A</v>
      </c>
      <c r="F249" t="e">
        <f>Tabela1[[#This Row],[Estoque Virtual]]-Tabela1[[#This Row],[Qtd]]</f>
        <v>#N/A</v>
      </c>
      <c r="G249" s="12" t="e">
        <f>IF(OR(Tabela1[[#This Row],[Análise]]="Em estoque",Tabela1[[#This Row],[Análise]]=$V$4),"Atende 7 dias","Atende 30 dias")</f>
        <v>#N/A</v>
      </c>
    </row>
    <row r="250" spans="1:7" x14ac:dyDescent="0.25">
      <c r="A250">
        <f>'Pedidos de Venda'!A256</f>
        <v>0</v>
      </c>
      <c r="B250">
        <f>'Pedidos de Venda'!C256</f>
        <v>0</v>
      </c>
      <c r="C250">
        <f>'Pedidos de Venda'!B256</f>
        <v>0</v>
      </c>
      <c r="D250" s="65" t="e">
        <f>IF(F250&lt;=0, VLOOKUP(C250, [1]Localização!A:R, 18, FALSE), "Em estoque")</f>
        <v>#N/A</v>
      </c>
      <c r="E250" t="e">
        <f>VLOOKUP(Tabela1[[#This Row],[Código (SKU)]],Necessidade!B:P,15,FALSE)</f>
        <v>#N/A</v>
      </c>
      <c r="F250" t="e">
        <f>Tabela1[[#This Row],[Estoque Virtual]]-Tabela1[[#This Row],[Qtd]]</f>
        <v>#N/A</v>
      </c>
      <c r="G250" s="12" t="e">
        <f>IF(OR(Tabela1[[#This Row],[Análise]]="Em estoque",Tabela1[[#This Row],[Análise]]=$V$4),"Atende 7 dias","Atende 30 dias")</f>
        <v>#N/A</v>
      </c>
    </row>
  </sheetData>
  <mergeCells count="1">
    <mergeCell ref="V13:W13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3"/>
  <drawing r:id="rId4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5536A-FB67-4753-ABE2-46810F571B74}">
  <sheetPr codeName="Planilha3"/>
  <dimension ref="A1:Q1282"/>
  <sheetViews>
    <sheetView showGridLines="0" zoomScale="85" zoomScaleNormal="85" workbookViewId="0">
      <pane ySplit="1" topLeftCell="A2" activePane="bottomLeft" state="frozen"/>
      <selection pane="bottomLeft" activeCell="F34" sqref="F34"/>
    </sheetView>
  </sheetViews>
  <sheetFormatPr defaultRowHeight="15" x14ac:dyDescent="0.25"/>
  <cols>
    <col min="1" max="1" width="25.7109375" customWidth="1"/>
    <col min="2" max="2" width="23.42578125" customWidth="1"/>
    <col min="6" max="6" width="17.28515625" bestFit="1" customWidth="1"/>
    <col min="8" max="8" width="15.5703125" bestFit="1" customWidth="1"/>
    <col min="9" max="9" width="16.7109375" bestFit="1" customWidth="1"/>
    <col min="10" max="10" width="17.7109375" bestFit="1" customWidth="1"/>
    <col min="11" max="11" width="18.140625" bestFit="1" customWidth="1"/>
    <col min="12" max="12" width="24.7109375" customWidth="1"/>
    <col min="13" max="13" width="13.5703125" bestFit="1" customWidth="1"/>
    <col min="15" max="15" width="8.5703125" bestFit="1" customWidth="1"/>
    <col min="16" max="16" width="18.85546875" style="24" bestFit="1" customWidth="1"/>
  </cols>
  <sheetData>
    <row r="1" spans="1:16" x14ac:dyDescent="0.25">
      <c r="A1" t="s">
        <v>29</v>
      </c>
      <c r="B1" t="s">
        <v>2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  <c r="O1" t="s">
        <v>42</v>
      </c>
      <c r="P1" s="23" t="s">
        <v>638</v>
      </c>
    </row>
    <row r="5" spans="1:16" x14ac:dyDescent="0.25">
      <c r="P5" s="24">
        <f t="shared" ref="P5:P68" si="0">H5-G5</f>
        <v>0</v>
      </c>
    </row>
    <row r="6" spans="1:16" x14ac:dyDescent="0.25">
      <c r="P6" s="24">
        <f t="shared" si="0"/>
        <v>0</v>
      </c>
    </row>
    <row r="7" spans="1:16" x14ac:dyDescent="0.25">
      <c r="P7" s="24">
        <f t="shared" si="0"/>
        <v>0</v>
      </c>
    </row>
    <row r="8" spans="1:16" x14ac:dyDescent="0.25">
      <c r="P8" s="24">
        <f t="shared" si="0"/>
        <v>0</v>
      </c>
    </row>
    <row r="9" spans="1:16" x14ac:dyDescent="0.25">
      <c r="P9" s="24">
        <f t="shared" si="0"/>
        <v>0</v>
      </c>
    </row>
    <row r="10" spans="1:16" x14ac:dyDescent="0.25">
      <c r="P10" s="24">
        <f t="shared" si="0"/>
        <v>0</v>
      </c>
    </row>
    <row r="11" spans="1:16" x14ac:dyDescent="0.25">
      <c r="P11" s="24">
        <f t="shared" si="0"/>
        <v>0</v>
      </c>
    </row>
    <row r="12" spans="1:16" x14ac:dyDescent="0.25">
      <c r="P12" s="24">
        <f t="shared" si="0"/>
        <v>0</v>
      </c>
    </row>
    <row r="13" spans="1:16" x14ac:dyDescent="0.25">
      <c r="P13" s="24">
        <f t="shared" si="0"/>
        <v>0</v>
      </c>
    </row>
    <row r="14" spans="1:16" x14ac:dyDescent="0.25">
      <c r="P14" s="24">
        <f t="shared" si="0"/>
        <v>0</v>
      </c>
    </row>
    <row r="15" spans="1:16" x14ac:dyDescent="0.25">
      <c r="P15" s="24">
        <f t="shared" si="0"/>
        <v>0</v>
      </c>
    </row>
    <row r="16" spans="1:16" x14ac:dyDescent="0.25">
      <c r="P16" s="24">
        <f t="shared" si="0"/>
        <v>0</v>
      </c>
    </row>
    <row r="17" spans="16:16" x14ac:dyDescent="0.25">
      <c r="P17" s="24">
        <f t="shared" si="0"/>
        <v>0</v>
      </c>
    </row>
    <row r="18" spans="16:16" x14ac:dyDescent="0.25">
      <c r="P18" s="24">
        <f t="shared" si="0"/>
        <v>0</v>
      </c>
    </row>
    <row r="19" spans="16:16" x14ac:dyDescent="0.25">
      <c r="P19" s="24">
        <f t="shared" si="0"/>
        <v>0</v>
      </c>
    </row>
    <row r="20" spans="16:16" x14ac:dyDescent="0.25">
      <c r="P20" s="24">
        <f t="shared" si="0"/>
        <v>0</v>
      </c>
    </row>
    <row r="21" spans="16:16" x14ac:dyDescent="0.25">
      <c r="P21" s="24">
        <f t="shared" si="0"/>
        <v>0</v>
      </c>
    </row>
    <row r="22" spans="16:16" x14ac:dyDescent="0.25">
      <c r="P22" s="24">
        <f t="shared" si="0"/>
        <v>0</v>
      </c>
    </row>
    <row r="23" spans="16:16" x14ac:dyDescent="0.25">
      <c r="P23" s="24">
        <f t="shared" si="0"/>
        <v>0</v>
      </c>
    </row>
    <row r="24" spans="16:16" x14ac:dyDescent="0.25">
      <c r="P24" s="24">
        <f t="shared" si="0"/>
        <v>0</v>
      </c>
    </row>
    <row r="25" spans="16:16" x14ac:dyDescent="0.25">
      <c r="P25" s="24">
        <f t="shared" si="0"/>
        <v>0</v>
      </c>
    </row>
    <row r="26" spans="16:16" x14ac:dyDescent="0.25">
      <c r="P26" s="24">
        <f t="shared" si="0"/>
        <v>0</v>
      </c>
    </row>
    <row r="27" spans="16:16" x14ac:dyDescent="0.25">
      <c r="P27" s="24">
        <f t="shared" si="0"/>
        <v>0</v>
      </c>
    </row>
    <row r="28" spans="16:16" x14ac:dyDescent="0.25">
      <c r="P28" s="24">
        <f t="shared" si="0"/>
        <v>0</v>
      </c>
    </row>
    <row r="29" spans="16:16" x14ac:dyDescent="0.25">
      <c r="P29" s="24">
        <f t="shared" si="0"/>
        <v>0</v>
      </c>
    </row>
    <row r="30" spans="16:16" x14ac:dyDescent="0.25">
      <c r="P30" s="24">
        <f t="shared" si="0"/>
        <v>0</v>
      </c>
    </row>
    <row r="31" spans="16:16" x14ac:dyDescent="0.25">
      <c r="P31" s="24">
        <f t="shared" si="0"/>
        <v>0</v>
      </c>
    </row>
    <row r="32" spans="16:16" x14ac:dyDescent="0.25">
      <c r="P32" s="24">
        <f t="shared" si="0"/>
        <v>0</v>
      </c>
    </row>
    <row r="33" spans="16:16" x14ac:dyDescent="0.25">
      <c r="P33" s="24">
        <f t="shared" si="0"/>
        <v>0</v>
      </c>
    </row>
    <row r="34" spans="16:16" x14ac:dyDescent="0.25">
      <c r="P34" s="24">
        <f t="shared" si="0"/>
        <v>0</v>
      </c>
    </row>
    <row r="35" spans="16:16" x14ac:dyDescent="0.25">
      <c r="P35" s="24">
        <f t="shared" si="0"/>
        <v>0</v>
      </c>
    </row>
    <row r="36" spans="16:16" x14ac:dyDescent="0.25">
      <c r="P36" s="24">
        <f t="shared" si="0"/>
        <v>0</v>
      </c>
    </row>
    <row r="37" spans="16:16" x14ac:dyDescent="0.25">
      <c r="P37" s="24">
        <f t="shared" si="0"/>
        <v>0</v>
      </c>
    </row>
    <row r="38" spans="16:16" x14ac:dyDescent="0.25">
      <c r="P38" s="24">
        <f t="shared" si="0"/>
        <v>0</v>
      </c>
    </row>
    <row r="39" spans="16:16" x14ac:dyDescent="0.25">
      <c r="P39" s="24">
        <f t="shared" si="0"/>
        <v>0</v>
      </c>
    </row>
    <row r="40" spans="16:16" x14ac:dyDescent="0.25">
      <c r="P40" s="24">
        <f t="shared" si="0"/>
        <v>0</v>
      </c>
    </row>
    <row r="41" spans="16:16" x14ac:dyDescent="0.25">
      <c r="P41" s="24">
        <f t="shared" si="0"/>
        <v>0</v>
      </c>
    </row>
    <row r="42" spans="16:16" x14ac:dyDescent="0.25">
      <c r="P42" s="24">
        <f t="shared" si="0"/>
        <v>0</v>
      </c>
    </row>
    <row r="43" spans="16:16" x14ac:dyDescent="0.25">
      <c r="P43" s="24">
        <f t="shared" si="0"/>
        <v>0</v>
      </c>
    </row>
    <row r="44" spans="16:16" x14ac:dyDescent="0.25">
      <c r="P44" s="24">
        <f t="shared" si="0"/>
        <v>0</v>
      </c>
    </row>
    <row r="45" spans="16:16" x14ac:dyDescent="0.25">
      <c r="P45" s="24">
        <f t="shared" si="0"/>
        <v>0</v>
      </c>
    </row>
    <row r="46" spans="16:16" x14ac:dyDescent="0.25">
      <c r="P46" s="24">
        <f t="shared" si="0"/>
        <v>0</v>
      </c>
    </row>
    <row r="47" spans="16:16" x14ac:dyDescent="0.25">
      <c r="P47" s="24">
        <f t="shared" si="0"/>
        <v>0</v>
      </c>
    </row>
    <row r="48" spans="16:16" x14ac:dyDescent="0.25">
      <c r="P48" s="24">
        <f t="shared" si="0"/>
        <v>0</v>
      </c>
    </row>
    <row r="49" spans="16:16" x14ac:dyDescent="0.25">
      <c r="P49" s="24">
        <f t="shared" si="0"/>
        <v>0</v>
      </c>
    </row>
    <row r="50" spans="16:16" x14ac:dyDescent="0.25">
      <c r="P50" s="24">
        <f t="shared" si="0"/>
        <v>0</v>
      </c>
    </row>
    <row r="51" spans="16:16" x14ac:dyDescent="0.25">
      <c r="P51" s="24">
        <f t="shared" si="0"/>
        <v>0</v>
      </c>
    </row>
    <row r="52" spans="16:16" x14ac:dyDescent="0.25">
      <c r="P52" s="24">
        <f t="shared" si="0"/>
        <v>0</v>
      </c>
    </row>
    <row r="53" spans="16:16" x14ac:dyDescent="0.25">
      <c r="P53" s="24">
        <f t="shared" si="0"/>
        <v>0</v>
      </c>
    </row>
    <row r="54" spans="16:16" x14ac:dyDescent="0.25">
      <c r="P54" s="24">
        <f t="shared" si="0"/>
        <v>0</v>
      </c>
    </row>
    <row r="55" spans="16:16" x14ac:dyDescent="0.25">
      <c r="P55" s="24">
        <f t="shared" si="0"/>
        <v>0</v>
      </c>
    </row>
    <row r="56" spans="16:16" x14ac:dyDescent="0.25">
      <c r="P56" s="24">
        <f t="shared" si="0"/>
        <v>0</v>
      </c>
    </row>
    <row r="57" spans="16:16" x14ac:dyDescent="0.25">
      <c r="P57" s="24">
        <f t="shared" si="0"/>
        <v>0</v>
      </c>
    </row>
    <row r="58" spans="16:16" x14ac:dyDescent="0.25">
      <c r="P58" s="24">
        <f t="shared" si="0"/>
        <v>0</v>
      </c>
    </row>
    <row r="59" spans="16:16" x14ac:dyDescent="0.25">
      <c r="P59" s="24">
        <f t="shared" si="0"/>
        <v>0</v>
      </c>
    </row>
    <row r="60" spans="16:16" x14ac:dyDescent="0.25">
      <c r="P60" s="24">
        <f t="shared" si="0"/>
        <v>0</v>
      </c>
    </row>
    <row r="61" spans="16:16" x14ac:dyDescent="0.25">
      <c r="P61" s="24">
        <f t="shared" si="0"/>
        <v>0</v>
      </c>
    </row>
    <row r="62" spans="16:16" x14ac:dyDescent="0.25">
      <c r="P62" s="24">
        <f t="shared" si="0"/>
        <v>0</v>
      </c>
    </row>
    <row r="63" spans="16:16" x14ac:dyDescent="0.25">
      <c r="P63" s="24">
        <f t="shared" si="0"/>
        <v>0</v>
      </c>
    </row>
    <row r="64" spans="16:16" x14ac:dyDescent="0.25">
      <c r="P64" s="24">
        <f t="shared" si="0"/>
        <v>0</v>
      </c>
    </row>
    <row r="65" spans="16:16" x14ac:dyDescent="0.25">
      <c r="P65" s="24">
        <f t="shared" si="0"/>
        <v>0</v>
      </c>
    </row>
    <row r="66" spans="16:16" x14ac:dyDescent="0.25">
      <c r="P66" s="24">
        <f t="shared" si="0"/>
        <v>0</v>
      </c>
    </row>
    <row r="67" spans="16:16" x14ac:dyDescent="0.25">
      <c r="P67" s="24">
        <f t="shared" si="0"/>
        <v>0</v>
      </c>
    </row>
    <row r="68" spans="16:16" x14ac:dyDescent="0.25">
      <c r="P68" s="24">
        <f t="shared" si="0"/>
        <v>0</v>
      </c>
    </row>
    <row r="69" spans="16:16" x14ac:dyDescent="0.25">
      <c r="P69" s="24">
        <f t="shared" ref="P69:P95" si="1">H69-G69</f>
        <v>0</v>
      </c>
    </row>
    <row r="70" spans="16:16" x14ac:dyDescent="0.25">
      <c r="P70" s="24">
        <f t="shared" si="1"/>
        <v>0</v>
      </c>
    </row>
    <row r="71" spans="16:16" x14ac:dyDescent="0.25">
      <c r="P71" s="24">
        <f t="shared" si="1"/>
        <v>0</v>
      </c>
    </row>
    <row r="72" spans="16:16" x14ac:dyDescent="0.25">
      <c r="P72" s="24">
        <f t="shared" si="1"/>
        <v>0</v>
      </c>
    </row>
    <row r="73" spans="16:16" x14ac:dyDescent="0.25">
      <c r="P73" s="24">
        <f t="shared" si="1"/>
        <v>0</v>
      </c>
    </row>
    <row r="74" spans="16:16" x14ac:dyDescent="0.25">
      <c r="P74" s="24">
        <f t="shared" si="1"/>
        <v>0</v>
      </c>
    </row>
    <row r="75" spans="16:16" x14ac:dyDescent="0.25">
      <c r="P75" s="24">
        <f t="shared" si="1"/>
        <v>0</v>
      </c>
    </row>
    <row r="76" spans="16:16" x14ac:dyDescent="0.25">
      <c r="P76" s="24">
        <f t="shared" si="1"/>
        <v>0</v>
      </c>
    </row>
    <row r="77" spans="16:16" x14ac:dyDescent="0.25">
      <c r="P77" s="24">
        <f t="shared" si="1"/>
        <v>0</v>
      </c>
    </row>
    <row r="78" spans="16:16" x14ac:dyDescent="0.25">
      <c r="P78" s="24">
        <f t="shared" si="1"/>
        <v>0</v>
      </c>
    </row>
    <row r="79" spans="16:16" x14ac:dyDescent="0.25">
      <c r="P79" s="24">
        <f t="shared" si="1"/>
        <v>0</v>
      </c>
    </row>
    <row r="80" spans="16:16" x14ac:dyDescent="0.25">
      <c r="P80" s="24">
        <f t="shared" si="1"/>
        <v>0</v>
      </c>
    </row>
    <row r="81" spans="16:16" x14ac:dyDescent="0.25">
      <c r="P81" s="24">
        <f t="shared" si="1"/>
        <v>0</v>
      </c>
    </row>
    <row r="82" spans="16:16" x14ac:dyDescent="0.25">
      <c r="P82" s="24">
        <f t="shared" si="1"/>
        <v>0</v>
      </c>
    </row>
    <row r="83" spans="16:16" x14ac:dyDescent="0.25">
      <c r="P83" s="24">
        <f t="shared" si="1"/>
        <v>0</v>
      </c>
    </row>
    <row r="84" spans="16:16" x14ac:dyDescent="0.25">
      <c r="P84" s="24">
        <f t="shared" si="1"/>
        <v>0</v>
      </c>
    </row>
    <row r="85" spans="16:16" x14ac:dyDescent="0.25">
      <c r="P85" s="24">
        <f t="shared" si="1"/>
        <v>0</v>
      </c>
    </row>
    <row r="86" spans="16:16" x14ac:dyDescent="0.25">
      <c r="P86" s="24">
        <f t="shared" si="1"/>
        <v>0</v>
      </c>
    </row>
    <row r="87" spans="16:16" x14ac:dyDescent="0.25">
      <c r="P87" s="24">
        <f t="shared" si="1"/>
        <v>0</v>
      </c>
    </row>
    <row r="88" spans="16:16" x14ac:dyDescent="0.25">
      <c r="P88" s="24">
        <f t="shared" si="1"/>
        <v>0</v>
      </c>
    </row>
    <row r="89" spans="16:16" x14ac:dyDescent="0.25">
      <c r="P89" s="24">
        <f t="shared" si="1"/>
        <v>0</v>
      </c>
    </row>
    <row r="90" spans="16:16" x14ac:dyDescent="0.25">
      <c r="P90" s="24">
        <f t="shared" si="1"/>
        <v>0</v>
      </c>
    </row>
    <row r="91" spans="16:16" x14ac:dyDescent="0.25">
      <c r="P91" s="24">
        <f t="shared" si="1"/>
        <v>0</v>
      </c>
    </row>
    <row r="92" spans="16:16" x14ac:dyDescent="0.25">
      <c r="P92" s="24">
        <f t="shared" si="1"/>
        <v>0</v>
      </c>
    </row>
    <row r="93" spans="16:16" x14ac:dyDescent="0.25">
      <c r="P93" s="24">
        <f t="shared" si="1"/>
        <v>0</v>
      </c>
    </row>
    <row r="94" spans="16:16" x14ac:dyDescent="0.25">
      <c r="P94" s="24">
        <f t="shared" si="1"/>
        <v>0</v>
      </c>
    </row>
    <row r="95" spans="16:16" x14ac:dyDescent="0.25">
      <c r="P95" s="24">
        <f t="shared" si="1"/>
        <v>0</v>
      </c>
    </row>
    <row r="96" spans="16:16" x14ac:dyDescent="0.25">
      <c r="P96" s="24">
        <f t="shared" ref="P96:P104" si="2">H96-G96</f>
        <v>0</v>
      </c>
    </row>
    <row r="97" spans="16:17" x14ac:dyDescent="0.25">
      <c r="P97" s="24">
        <f t="shared" si="2"/>
        <v>0</v>
      </c>
    </row>
    <row r="98" spans="16:17" x14ac:dyDescent="0.25">
      <c r="P98" s="24">
        <f t="shared" si="2"/>
        <v>0</v>
      </c>
    </row>
    <row r="99" spans="16:17" x14ac:dyDescent="0.25">
      <c r="P99" s="24">
        <f t="shared" si="2"/>
        <v>0</v>
      </c>
    </row>
    <row r="100" spans="16:17" x14ac:dyDescent="0.25">
      <c r="P100" s="24">
        <f t="shared" si="2"/>
        <v>0</v>
      </c>
    </row>
    <row r="101" spans="16:17" x14ac:dyDescent="0.25">
      <c r="P101" s="24">
        <f t="shared" si="2"/>
        <v>0</v>
      </c>
    </row>
    <row r="102" spans="16:17" x14ac:dyDescent="0.25">
      <c r="P102" s="24">
        <f t="shared" si="2"/>
        <v>0</v>
      </c>
    </row>
    <row r="103" spans="16:17" x14ac:dyDescent="0.25">
      <c r="P103" s="24">
        <f t="shared" si="2"/>
        <v>0</v>
      </c>
    </row>
    <row r="104" spans="16:17" x14ac:dyDescent="0.25">
      <c r="P104" s="24">
        <f t="shared" si="2"/>
        <v>0</v>
      </c>
    </row>
    <row r="105" spans="16:17" x14ac:dyDescent="0.25">
      <c r="P105" s="24">
        <f>H105-G105</f>
        <v>0</v>
      </c>
    </row>
    <row r="106" spans="16:17" x14ac:dyDescent="0.25">
      <c r="P106" s="24">
        <f t="shared" ref="P106:P169" si="3">H106-G106</f>
        <v>0</v>
      </c>
    </row>
    <row r="107" spans="16:17" x14ac:dyDescent="0.25">
      <c r="P107" s="24">
        <f t="shared" si="3"/>
        <v>0</v>
      </c>
      <c r="Q107" s="16"/>
    </row>
    <row r="108" spans="16:17" x14ac:dyDescent="0.25">
      <c r="P108" s="24">
        <f t="shared" si="3"/>
        <v>0</v>
      </c>
    </row>
    <row r="109" spans="16:17" x14ac:dyDescent="0.25">
      <c r="P109" s="24">
        <f t="shared" si="3"/>
        <v>0</v>
      </c>
    </row>
    <row r="110" spans="16:17" x14ac:dyDescent="0.25">
      <c r="P110" s="24">
        <f t="shared" si="3"/>
        <v>0</v>
      </c>
    </row>
    <row r="111" spans="16:17" x14ac:dyDescent="0.25">
      <c r="P111" s="24">
        <f t="shared" si="3"/>
        <v>0</v>
      </c>
    </row>
    <row r="112" spans="16:17" x14ac:dyDescent="0.25">
      <c r="P112" s="24">
        <f t="shared" si="3"/>
        <v>0</v>
      </c>
    </row>
    <row r="113" spans="16:16" x14ac:dyDescent="0.25">
      <c r="P113" s="24">
        <f t="shared" si="3"/>
        <v>0</v>
      </c>
    </row>
    <row r="114" spans="16:16" x14ac:dyDescent="0.25">
      <c r="P114" s="24">
        <f t="shared" si="3"/>
        <v>0</v>
      </c>
    </row>
    <row r="115" spans="16:16" x14ac:dyDescent="0.25">
      <c r="P115" s="24">
        <f t="shared" si="3"/>
        <v>0</v>
      </c>
    </row>
    <row r="116" spans="16:16" x14ac:dyDescent="0.25">
      <c r="P116" s="24">
        <f t="shared" si="3"/>
        <v>0</v>
      </c>
    </row>
    <row r="117" spans="16:16" x14ac:dyDescent="0.25">
      <c r="P117" s="24">
        <f t="shared" si="3"/>
        <v>0</v>
      </c>
    </row>
    <row r="118" spans="16:16" x14ac:dyDescent="0.25">
      <c r="P118" s="24">
        <f t="shared" si="3"/>
        <v>0</v>
      </c>
    </row>
    <row r="119" spans="16:16" x14ac:dyDescent="0.25">
      <c r="P119" s="24">
        <f t="shared" si="3"/>
        <v>0</v>
      </c>
    </row>
    <row r="120" spans="16:16" x14ac:dyDescent="0.25">
      <c r="P120" s="24">
        <f t="shared" si="3"/>
        <v>0</v>
      </c>
    </row>
    <row r="121" spans="16:16" x14ac:dyDescent="0.25">
      <c r="P121" s="24">
        <f t="shared" si="3"/>
        <v>0</v>
      </c>
    </row>
    <row r="122" spans="16:16" x14ac:dyDescent="0.25">
      <c r="P122" s="24">
        <f t="shared" si="3"/>
        <v>0</v>
      </c>
    </row>
    <row r="123" spans="16:16" x14ac:dyDescent="0.25">
      <c r="P123" s="24">
        <f t="shared" si="3"/>
        <v>0</v>
      </c>
    </row>
    <row r="124" spans="16:16" x14ac:dyDescent="0.25">
      <c r="P124" s="24">
        <f t="shared" si="3"/>
        <v>0</v>
      </c>
    </row>
    <row r="125" spans="16:16" x14ac:dyDescent="0.25">
      <c r="P125" s="24">
        <f t="shared" si="3"/>
        <v>0</v>
      </c>
    </row>
    <row r="126" spans="16:16" x14ac:dyDescent="0.25">
      <c r="P126" s="24">
        <f t="shared" si="3"/>
        <v>0</v>
      </c>
    </row>
    <row r="127" spans="16:16" x14ac:dyDescent="0.25">
      <c r="P127" s="24">
        <f t="shared" si="3"/>
        <v>0</v>
      </c>
    </row>
    <row r="128" spans="16:16" x14ac:dyDescent="0.25">
      <c r="P128" s="24">
        <f t="shared" si="3"/>
        <v>0</v>
      </c>
    </row>
    <row r="129" spans="16:17" x14ac:dyDescent="0.25">
      <c r="P129" s="24">
        <f t="shared" si="3"/>
        <v>0</v>
      </c>
    </row>
    <row r="130" spans="16:17" x14ac:dyDescent="0.25">
      <c r="P130" s="24">
        <f t="shared" si="3"/>
        <v>0</v>
      </c>
    </row>
    <row r="131" spans="16:17" x14ac:dyDescent="0.25">
      <c r="P131" s="24">
        <f t="shared" si="3"/>
        <v>0</v>
      </c>
      <c r="Q131" s="16" t="s">
        <v>639</v>
      </c>
    </row>
    <row r="132" spans="16:17" x14ac:dyDescent="0.25">
      <c r="P132" s="24">
        <f t="shared" si="3"/>
        <v>0</v>
      </c>
    </row>
    <row r="133" spans="16:17" x14ac:dyDescent="0.25">
      <c r="P133" s="24">
        <f t="shared" si="3"/>
        <v>0</v>
      </c>
    </row>
    <row r="134" spans="16:17" x14ac:dyDescent="0.25">
      <c r="P134" s="24">
        <f t="shared" si="3"/>
        <v>0</v>
      </c>
    </row>
    <row r="135" spans="16:17" x14ac:dyDescent="0.25">
      <c r="P135" s="24">
        <f t="shared" si="3"/>
        <v>0</v>
      </c>
    </row>
    <row r="136" spans="16:17" x14ac:dyDescent="0.25">
      <c r="P136" s="24">
        <f t="shared" si="3"/>
        <v>0</v>
      </c>
    </row>
    <row r="137" spans="16:17" x14ac:dyDescent="0.25">
      <c r="P137" s="24">
        <f t="shared" si="3"/>
        <v>0</v>
      </c>
    </row>
    <row r="138" spans="16:17" x14ac:dyDescent="0.25">
      <c r="P138" s="24">
        <f t="shared" si="3"/>
        <v>0</v>
      </c>
    </row>
    <row r="139" spans="16:17" x14ac:dyDescent="0.25">
      <c r="P139" s="24">
        <f t="shared" si="3"/>
        <v>0</v>
      </c>
    </row>
    <row r="140" spans="16:17" x14ac:dyDescent="0.25">
      <c r="P140" s="24">
        <f t="shared" si="3"/>
        <v>0</v>
      </c>
    </row>
    <row r="141" spans="16:17" x14ac:dyDescent="0.25">
      <c r="P141" s="24">
        <f t="shared" si="3"/>
        <v>0</v>
      </c>
    </row>
    <row r="142" spans="16:17" x14ac:dyDescent="0.25">
      <c r="P142" s="24">
        <f t="shared" si="3"/>
        <v>0</v>
      </c>
    </row>
    <row r="143" spans="16:17" x14ac:dyDescent="0.25">
      <c r="P143" s="24">
        <f t="shared" si="3"/>
        <v>0</v>
      </c>
    </row>
    <row r="144" spans="16:17" x14ac:dyDescent="0.25">
      <c r="P144" s="24">
        <f t="shared" si="3"/>
        <v>0</v>
      </c>
    </row>
    <row r="145" spans="16:16" x14ac:dyDescent="0.25">
      <c r="P145" s="24">
        <f t="shared" si="3"/>
        <v>0</v>
      </c>
    </row>
    <row r="146" spans="16:16" x14ac:dyDescent="0.25">
      <c r="P146" s="24">
        <f t="shared" si="3"/>
        <v>0</v>
      </c>
    </row>
    <row r="147" spans="16:16" x14ac:dyDescent="0.25">
      <c r="P147" s="24">
        <f t="shared" si="3"/>
        <v>0</v>
      </c>
    </row>
    <row r="148" spans="16:16" x14ac:dyDescent="0.25">
      <c r="P148" s="24">
        <f t="shared" si="3"/>
        <v>0</v>
      </c>
    </row>
    <row r="149" spans="16:16" x14ac:dyDescent="0.25">
      <c r="P149" s="24">
        <f t="shared" si="3"/>
        <v>0</v>
      </c>
    </row>
    <row r="150" spans="16:16" x14ac:dyDescent="0.25">
      <c r="P150" s="24">
        <f t="shared" si="3"/>
        <v>0</v>
      </c>
    </row>
    <row r="151" spans="16:16" x14ac:dyDescent="0.25">
      <c r="P151" s="24">
        <f t="shared" si="3"/>
        <v>0</v>
      </c>
    </row>
    <row r="152" spans="16:16" x14ac:dyDescent="0.25">
      <c r="P152" s="24">
        <f t="shared" si="3"/>
        <v>0</v>
      </c>
    </row>
    <row r="153" spans="16:16" x14ac:dyDescent="0.25">
      <c r="P153" s="24">
        <f t="shared" si="3"/>
        <v>0</v>
      </c>
    </row>
    <row r="154" spans="16:16" x14ac:dyDescent="0.25">
      <c r="P154" s="24">
        <f t="shared" si="3"/>
        <v>0</v>
      </c>
    </row>
    <row r="155" spans="16:16" x14ac:dyDescent="0.25">
      <c r="P155" s="24">
        <f t="shared" si="3"/>
        <v>0</v>
      </c>
    </row>
    <row r="156" spans="16:16" x14ac:dyDescent="0.25">
      <c r="P156" s="24">
        <f t="shared" si="3"/>
        <v>0</v>
      </c>
    </row>
    <row r="157" spans="16:16" x14ac:dyDescent="0.25">
      <c r="P157" s="24">
        <f t="shared" si="3"/>
        <v>0</v>
      </c>
    </row>
    <row r="158" spans="16:16" x14ac:dyDescent="0.25">
      <c r="P158" s="24">
        <f t="shared" si="3"/>
        <v>0</v>
      </c>
    </row>
    <row r="159" spans="16:16" x14ac:dyDescent="0.25">
      <c r="P159" s="24">
        <f t="shared" si="3"/>
        <v>0</v>
      </c>
    </row>
    <row r="160" spans="16:16" x14ac:dyDescent="0.25">
      <c r="P160" s="24">
        <f t="shared" si="3"/>
        <v>0</v>
      </c>
    </row>
    <row r="161" spans="16:16" x14ac:dyDescent="0.25">
      <c r="P161" s="24">
        <f t="shared" si="3"/>
        <v>0</v>
      </c>
    </row>
    <row r="162" spans="16:16" x14ac:dyDescent="0.25">
      <c r="P162" s="24">
        <f t="shared" si="3"/>
        <v>0</v>
      </c>
    </row>
    <row r="163" spans="16:16" x14ac:dyDescent="0.25">
      <c r="P163" s="24">
        <f t="shared" si="3"/>
        <v>0</v>
      </c>
    </row>
    <row r="164" spans="16:16" x14ac:dyDescent="0.25">
      <c r="P164" s="24">
        <f t="shared" si="3"/>
        <v>0</v>
      </c>
    </row>
    <row r="165" spans="16:16" x14ac:dyDescent="0.25">
      <c r="P165" s="24">
        <f t="shared" si="3"/>
        <v>0</v>
      </c>
    </row>
    <row r="166" spans="16:16" x14ac:dyDescent="0.25">
      <c r="P166" s="24">
        <f t="shared" si="3"/>
        <v>0</v>
      </c>
    </row>
    <row r="167" spans="16:16" x14ac:dyDescent="0.25">
      <c r="P167" s="24">
        <f t="shared" si="3"/>
        <v>0</v>
      </c>
    </row>
    <row r="168" spans="16:16" x14ac:dyDescent="0.25">
      <c r="P168" s="24">
        <f t="shared" si="3"/>
        <v>0</v>
      </c>
    </row>
    <row r="169" spans="16:16" x14ac:dyDescent="0.25">
      <c r="P169" s="24">
        <f t="shared" si="3"/>
        <v>0</v>
      </c>
    </row>
    <row r="170" spans="16:16" x14ac:dyDescent="0.25">
      <c r="P170" s="24">
        <f t="shared" ref="P170:P233" si="4">H170-G170</f>
        <v>0</v>
      </c>
    </row>
    <row r="171" spans="16:16" x14ac:dyDescent="0.25">
      <c r="P171" s="24">
        <f t="shared" si="4"/>
        <v>0</v>
      </c>
    </row>
    <row r="172" spans="16:16" x14ac:dyDescent="0.25">
      <c r="P172" s="24">
        <f t="shared" si="4"/>
        <v>0</v>
      </c>
    </row>
    <row r="173" spans="16:16" x14ac:dyDescent="0.25">
      <c r="P173" s="24">
        <f t="shared" si="4"/>
        <v>0</v>
      </c>
    </row>
    <row r="174" spans="16:16" x14ac:dyDescent="0.25">
      <c r="P174" s="24">
        <f t="shared" si="4"/>
        <v>0</v>
      </c>
    </row>
    <row r="175" spans="16:16" x14ac:dyDescent="0.25">
      <c r="P175" s="24">
        <f t="shared" si="4"/>
        <v>0</v>
      </c>
    </row>
    <row r="176" spans="16:16" x14ac:dyDescent="0.25">
      <c r="P176" s="24">
        <f t="shared" si="4"/>
        <v>0</v>
      </c>
    </row>
    <row r="177" spans="16:16" x14ac:dyDescent="0.25">
      <c r="P177" s="24">
        <f t="shared" si="4"/>
        <v>0</v>
      </c>
    </row>
    <row r="178" spans="16:16" x14ac:dyDescent="0.25">
      <c r="P178" s="24">
        <f t="shared" si="4"/>
        <v>0</v>
      </c>
    </row>
    <row r="179" spans="16:16" x14ac:dyDescent="0.25">
      <c r="P179" s="24">
        <f t="shared" si="4"/>
        <v>0</v>
      </c>
    </row>
    <row r="180" spans="16:16" x14ac:dyDescent="0.25">
      <c r="P180" s="24">
        <f t="shared" si="4"/>
        <v>0</v>
      </c>
    </row>
    <row r="181" spans="16:16" x14ac:dyDescent="0.25">
      <c r="P181" s="24">
        <f t="shared" si="4"/>
        <v>0</v>
      </c>
    </row>
    <row r="182" spans="16:16" x14ac:dyDescent="0.25">
      <c r="P182" s="24">
        <f t="shared" si="4"/>
        <v>0</v>
      </c>
    </row>
    <row r="183" spans="16:16" x14ac:dyDescent="0.25">
      <c r="P183" s="24">
        <f t="shared" si="4"/>
        <v>0</v>
      </c>
    </row>
    <row r="184" spans="16:16" x14ac:dyDescent="0.25">
      <c r="P184" s="24">
        <f t="shared" si="4"/>
        <v>0</v>
      </c>
    </row>
    <row r="185" spans="16:16" x14ac:dyDescent="0.25">
      <c r="P185" s="24">
        <f t="shared" si="4"/>
        <v>0</v>
      </c>
    </row>
    <row r="186" spans="16:16" x14ac:dyDescent="0.25">
      <c r="P186" s="24">
        <f t="shared" si="4"/>
        <v>0</v>
      </c>
    </row>
    <row r="187" spans="16:16" x14ac:dyDescent="0.25">
      <c r="P187" s="24">
        <f t="shared" si="4"/>
        <v>0</v>
      </c>
    </row>
    <row r="188" spans="16:16" x14ac:dyDescent="0.25">
      <c r="P188" s="24">
        <f t="shared" si="4"/>
        <v>0</v>
      </c>
    </row>
    <row r="189" spans="16:16" x14ac:dyDescent="0.25">
      <c r="P189" s="24">
        <f t="shared" si="4"/>
        <v>0</v>
      </c>
    </row>
    <row r="190" spans="16:16" x14ac:dyDescent="0.25">
      <c r="P190" s="24">
        <f t="shared" si="4"/>
        <v>0</v>
      </c>
    </row>
    <row r="191" spans="16:16" x14ac:dyDescent="0.25">
      <c r="P191" s="24">
        <f t="shared" si="4"/>
        <v>0</v>
      </c>
    </row>
    <row r="192" spans="16:16" x14ac:dyDescent="0.25">
      <c r="P192" s="24">
        <f t="shared" si="4"/>
        <v>0</v>
      </c>
    </row>
    <row r="193" spans="16:16" x14ac:dyDescent="0.25">
      <c r="P193" s="24">
        <f t="shared" si="4"/>
        <v>0</v>
      </c>
    </row>
    <row r="194" spans="16:16" x14ac:dyDescent="0.25">
      <c r="P194" s="24">
        <f t="shared" si="4"/>
        <v>0</v>
      </c>
    </row>
    <row r="195" spans="16:16" x14ac:dyDescent="0.25">
      <c r="P195" s="24">
        <f t="shared" si="4"/>
        <v>0</v>
      </c>
    </row>
    <row r="196" spans="16:16" x14ac:dyDescent="0.25">
      <c r="P196" s="24">
        <f t="shared" si="4"/>
        <v>0</v>
      </c>
    </row>
    <row r="197" spans="16:16" x14ac:dyDescent="0.25">
      <c r="P197" s="24">
        <f t="shared" si="4"/>
        <v>0</v>
      </c>
    </row>
    <row r="198" spans="16:16" x14ac:dyDescent="0.25">
      <c r="P198" s="24">
        <f t="shared" si="4"/>
        <v>0</v>
      </c>
    </row>
    <row r="199" spans="16:16" x14ac:dyDescent="0.25">
      <c r="P199" s="24">
        <f t="shared" si="4"/>
        <v>0</v>
      </c>
    </row>
    <row r="200" spans="16:16" x14ac:dyDescent="0.25">
      <c r="P200" s="24">
        <f t="shared" si="4"/>
        <v>0</v>
      </c>
    </row>
    <row r="201" spans="16:16" x14ac:dyDescent="0.25">
      <c r="P201" s="24">
        <f t="shared" si="4"/>
        <v>0</v>
      </c>
    </row>
    <row r="202" spans="16:16" x14ac:dyDescent="0.25">
      <c r="P202" s="24">
        <f t="shared" si="4"/>
        <v>0</v>
      </c>
    </row>
    <row r="203" spans="16:16" x14ac:dyDescent="0.25">
      <c r="P203" s="24">
        <f t="shared" si="4"/>
        <v>0</v>
      </c>
    </row>
    <row r="204" spans="16:16" x14ac:dyDescent="0.25">
      <c r="P204" s="24">
        <f t="shared" si="4"/>
        <v>0</v>
      </c>
    </row>
    <row r="205" spans="16:16" x14ac:dyDescent="0.25">
      <c r="P205" s="24">
        <f t="shared" si="4"/>
        <v>0</v>
      </c>
    </row>
    <row r="206" spans="16:16" x14ac:dyDescent="0.25">
      <c r="P206" s="24">
        <f t="shared" si="4"/>
        <v>0</v>
      </c>
    </row>
    <row r="207" spans="16:16" x14ac:dyDescent="0.25">
      <c r="P207" s="24">
        <f t="shared" si="4"/>
        <v>0</v>
      </c>
    </row>
    <row r="208" spans="16:16" x14ac:dyDescent="0.25">
      <c r="P208" s="24">
        <f t="shared" si="4"/>
        <v>0</v>
      </c>
    </row>
    <row r="209" spans="16:16" x14ac:dyDescent="0.25">
      <c r="P209" s="24">
        <f t="shared" si="4"/>
        <v>0</v>
      </c>
    </row>
    <row r="210" spans="16:16" x14ac:dyDescent="0.25">
      <c r="P210" s="24">
        <f t="shared" si="4"/>
        <v>0</v>
      </c>
    </row>
    <row r="211" spans="16:16" x14ac:dyDescent="0.25">
      <c r="P211" s="24">
        <f t="shared" si="4"/>
        <v>0</v>
      </c>
    </row>
    <row r="212" spans="16:16" x14ac:dyDescent="0.25">
      <c r="P212" s="24">
        <f t="shared" si="4"/>
        <v>0</v>
      </c>
    </row>
    <row r="213" spans="16:16" x14ac:dyDescent="0.25">
      <c r="P213" s="24">
        <f t="shared" si="4"/>
        <v>0</v>
      </c>
    </row>
    <row r="214" spans="16:16" x14ac:dyDescent="0.25">
      <c r="P214" s="24">
        <f t="shared" si="4"/>
        <v>0</v>
      </c>
    </row>
    <row r="215" spans="16:16" x14ac:dyDescent="0.25">
      <c r="P215" s="24">
        <f t="shared" si="4"/>
        <v>0</v>
      </c>
    </row>
    <row r="216" spans="16:16" x14ac:dyDescent="0.25">
      <c r="P216" s="24">
        <f t="shared" si="4"/>
        <v>0</v>
      </c>
    </row>
    <row r="217" spans="16:16" x14ac:dyDescent="0.25">
      <c r="P217" s="24">
        <f t="shared" si="4"/>
        <v>0</v>
      </c>
    </row>
    <row r="218" spans="16:16" x14ac:dyDescent="0.25">
      <c r="P218" s="24">
        <f t="shared" si="4"/>
        <v>0</v>
      </c>
    </row>
    <row r="219" spans="16:16" x14ac:dyDescent="0.25">
      <c r="P219" s="24">
        <f t="shared" si="4"/>
        <v>0</v>
      </c>
    </row>
    <row r="220" spans="16:16" x14ac:dyDescent="0.25">
      <c r="P220" s="24">
        <f t="shared" si="4"/>
        <v>0</v>
      </c>
    </row>
    <row r="221" spans="16:16" x14ac:dyDescent="0.25">
      <c r="P221" s="24">
        <f t="shared" si="4"/>
        <v>0</v>
      </c>
    </row>
    <row r="222" spans="16:16" x14ac:dyDescent="0.25">
      <c r="P222" s="24">
        <f t="shared" si="4"/>
        <v>0</v>
      </c>
    </row>
    <row r="223" spans="16:16" x14ac:dyDescent="0.25">
      <c r="P223" s="24">
        <f t="shared" si="4"/>
        <v>0</v>
      </c>
    </row>
    <row r="224" spans="16:16" x14ac:dyDescent="0.25">
      <c r="P224" s="24">
        <f t="shared" si="4"/>
        <v>0</v>
      </c>
    </row>
    <row r="225" spans="16:16" x14ac:dyDescent="0.25">
      <c r="P225" s="24">
        <f t="shared" si="4"/>
        <v>0</v>
      </c>
    </row>
    <row r="226" spans="16:16" x14ac:dyDescent="0.25">
      <c r="P226" s="24">
        <f t="shared" si="4"/>
        <v>0</v>
      </c>
    </row>
    <row r="227" spans="16:16" x14ac:dyDescent="0.25">
      <c r="P227" s="24">
        <f t="shared" si="4"/>
        <v>0</v>
      </c>
    </row>
    <row r="228" spans="16:16" x14ac:dyDescent="0.25">
      <c r="P228" s="24">
        <f t="shared" si="4"/>
        <v>0</v>
      </c>
    </row>
    <row r="229" spans="16:16" x14ac:dyDescent="0.25">
      <c r="P229" s="24">
        <f t="shared" si="4"/>
        <v>0</v>
      </c>
    </row>
    <row r="230" spans="16:16" x14ac:dyDescent="0.25">
      <c r="P230" s="24">
        <f t="shared" si="4"/>
        <v>0</v>
      </c>
    </row>
    <row r="231" spans="16:16" x14ac:dyDescent="0.25">
      <c r="P231" s="24">
        <f t="shared" si="4"/>
        <v>0</v>
      </c>
    </row>
    <row r="232" spans="16:16" x14ac:dyDescent="0.25">
      <c r="P232" s="24">
        <f t="shared" si="4"/>
        <v>0</v>
      </c>
    </row>
    <row r="233" spans="16:16" x14ac:dyDescent="0.25">
      <c r="P233" s="24">
        <f t="shared" si="4"/>
        <v>0</v>
      </c>
    </row>
    <row r="234" spans="16:16" x14ac:dyDescent="0.25">
      <c r="P234" s="24">
        <f t="shared" ref="P234:P297" si="5">H234-G234</f>
        <v>0</v>
      </c>
    </row>
    <row r="235" spans="16:16" x14ac:dyDescent="0.25">
      <c r="P235" s="24">
        <f t="shared" si="5"/>
        <v>0</v>
      </c>
    </row>
    <row r="236" spans="16:16" x14ac:dyDescent="0.25">
      <c r="P236" s="24">
        <f t="shared" si="5"/>
        <v>0</v>
      </c>
    </row>
    <row r="237" spans="16:16" x14ac:dyDescent="0.25">
      <c r="P237" s="24">
        <f t="shared" si="5"/>
        <v>0</v>
      </c>
    </row>
    <row r="238" spans="16:16" x14ac:dyDescent="0.25">
      <c r="P238" s="24">
        <f t="shared" si="5"/>
        <v>0</v>
      </c>
    </row>
    <row r="239" spans="16:16" x14ac:dyDescent="0.25">
      <c r="P239" s="24">
        <f t="shared" si="5"/>
        <v>0</v>
      </c>
    </row>
    <row r="240" spans="16:16" x14ac:dyDescent="0.25">
      <c r="P240" s="24">
        <f t="shared" si="5"/>
        <v>0</v>
      </c>
    </row>
    <row r="241" spans="16:16" x14ac:dyDescent="0.25">
      <c r="P241" s="24">
        <f t="shared" si="5"/>
        <v>0</v>
      </c>
    </row>
    <row r="242" spans="16:16" x14ac:dyDescent="0.25">
      <c r="P242" s="24">
        <f t="shared" si="5"/>
        <v>0</v>
      </c>
    </row>
    <row r="243" spans="16:16" x14ac:dyDescent="0.25">
      <c r="P243" s="24">
        <f t="shared" si="5"/>
        <v>0</v>
      </c>
    </row>
    <row r="244" spans="16:16" x14ac:dyDescent="0.25">
      <c r="P244" s="24">
        <f t="shared" si="5"/>
        <v>0</v>
      </c>
    </row>
    <row r="245" spans="16:16" x14ac:dyDescent="0.25">
      <c r="P245" s="24">
        <f t="shared" si="5"/>
        <v>0</v>
      </c>
    </row>
    <row r="246" spans="16:16" x14ac:dyDescent="0.25">
      <c r="P246" s="24">
        <f t="shared" si="5"/>
        <v>0</v>
      </c>
    </row>
    <row r="247" spans="16:16" x14ac:dyDescent="0.25">
      <c r="P247" s="24">
        <f t="shared" si="5"/>
        <v>0</v>
      </c>
    </row>
    <row r="248" spans="16:16" x14ac:dyDescent="0.25">
      <c r="P248" s="24">
        <f t="shared" si="5"/>
        <v>0</v>
      </c>
    </row>
    <row r="249" spans="16:16" x14ac:dyDescent="0.25">
      <c r="P249" s="24">
        <f t="shared" si="5"/>
        <v>0</v>
      </c>
    </row>
    <row r="250" spans="16:16" x14ac:dyDescent="0.25">
      <c r="P250" s="24">
        <f t="shared" si="5"/>
        <v>0</v>
      </c>
    </row>
    <row r="251" spans="16:16" x14ac:dyDescent="0.25">
      <c r="P251" s="24">
        <f t="shared" si="5"/>
        <v>0</v>
      </c>
    </row>
    <row r="252" spans="16:16" x14ac:dyDescent="0.25">
      <c r="P252" s="24">
        <f t="shared" si="5"/>
        <v>0</v>
      </c>
    </row>
    <row r="253" spans="16:16" x14ac:dyDescent="0.25">
      <c r="P253" s="24">
        <f t="shared" si="5"/>
        <v>0</v>
      </c>
    </row>
    <row r="254" spans="16:16" x14ac:dyDescent="0.25">
      <c r="P254" s="24">
        <f t="shared" si="5"/>
        <v>0</v>
      </c>
    </row>
    <row r="255" spans="16:16" x14ac:dyDescent="0.25">
      <c r="P255" s="24">
        <f t="shared" si="5"/>
        <v>0</v>
      </c>
    </row>
    <row r="256" spans="16:16" x14ac:dyDescent="0.25">
      <c r="P256" s="24">
        <f t="shared" si="5"/>
        <v>0</v>
      </c>
    </row>
    <row r="257" spans="16:16" x14ac:dyDescent="0.25">
      <c r="P257" s="24">
        <f t="shared" si="5"/>
        <v>0</v>
      </c>
    </row>
    <row r="258" spans="16:16" x14ac:dyDescent="0.25">
      <c r="P258" s="24">
        <f t="shared" si="5"/>
        <v>0</v>
      </c>
    </row>
    <row r="259" spans="16:16" x14ac:dyDescent="0.25">
      <c r="P259" s="24">
        <f t="shared" si="5"/>
        <v>0</v>
      </c>
    </row>
    <row r="260" spans="16:16" x14ac:dyDescent="0.25">
      <c r="P260" s="24">
        <f t="shared" si="5"/>
        <v>0</v>
      </c>
    </row>
    <row r="261" spans="16:16" x14ac:dyDescent="0.25">
      <c r="P261" s="24">
        <f t="shared" si="5"/>
        <v>0</v>
      </c>
    </row>
    <row r="262" spans="16:16" x14ac:dyDescent="0.25">
      <c r="P262" s="24">
        <f t="shared" si="5"/>
        <v>0</v>
      </c>
    </row>
    <row r="263" spans="16:16" x14ac:dyDescent="0.25">
      <c r="P263" s="24">
        <f t="shared" si="5"/>
        <v>0</v>
      </c>
    </row>
    <row r="264" spans="16:16" x14ac:dyDescent="0.25">
      <c r="P264" s="24">
        <f t="shared" si="5"/>
        <v>0</v>
      </c>
    </row>
    <row r="265" spans="16:16" x14ac:dyDescent="0.25">
      <c r="P265" s="24">
        <f t="shared" si="5"/>
        <v>0</v>
      </c>
    </row>
    <row r="266" spans="16:16" x14ac:dyDescent="0.25">
      <c r="P266" s="24">
        <f t="shared" si="5"/>
        <v>0</v>
      </c>
    </row>
    <row r="267" spans="16:16" x14ac:dyDescent="0.25">
      <c r="P267" s="24">
        <f t="shared" si="5"/>
        <v>0</v>
      </c>
    </row>
    <row r="268" spans="16:16" x14ac:dyDescent="0.25">
      <c r="P268" s="24">
        <f t="shared" si="5"/>
        <v>0</v>
      </c>
    </row>
    <row r="269" spans="16:16" x14ac:dyDescent="0.25">
      <c r="P269" s="24">
        <f t="shared" si="5"/>
        <v>0</v>
      </c>
    </row>
    <row r="270" spans="16:16" x14ac:dyDescent="0.25">
      <c r="P270" s="24">
        <f t="shared" si="5"/>
        <v>0</v>
      </c>
    </row>
    <row r="271" spans="16:16" x14ac:dyDescent="0.25">
      <c r="P271" s="24">
        <f t="shared" si="5"/>
        <v>0</v>
      </c>
    </row>
    <row r="272" spans="16:16" x14ac:dyDescent="0.25">
      <c r="P272" s="24">
        <f t="shared" si="5"/>
        <v>0</v>
      </c>
    </row>
    <row r="273" spans="16:16" x14ac:dyDescent="0.25">
      <c r="P273" s="24">
        <f t="shared" si="5"/>
        <v>0</v>
      </c>
    </row>
    <row r="274" spans="16:16" x14ac:dyDescent="0.25">
      <c r="P274" s="24">
        <f t="shared" si="5"/>
        <v>0</v>
      </c>
    </row>
    <row r="275" spans="16:16" x14ac:dyDescent="0.25">
      <c r="P275" s="24">
        <f t="shared" si="5"/>
        <v>0</v>
      </c>
    </row>
    <row r="276" spans="16:16" x14ac:dyDescent="0.25">
      <c r="P276" s="24">
        <f t="shared" si="5"/>
        <v>0</v>
      </c>
    </row>
    <row r="277" spans="16:16" x14ac:dyDescent="0.25">
      <c r="P277" s="24">
        <f t="shared" si="5"/>
        <v>0</v>
      </c>
    </row>
    <row r="278" spans="16:16" x14ac:dyDescent="0.25">
      <c r="P278" s="24">
        <f t="shared" si="5"/>
        <v>0</v>
      </c>
    </row>
    <row r="279" spans="16:16" x14ac:dyDescent="0.25">
      <c r="P279" s="24">
        <f t="shared" si="5"/>
        <v>0</v>
      </c>
    </row>
    <row r="280" spans="16:16" x14ac:dyDescent="0.25">
      <c r="P280" s="24">
        <f t="shared" si="5"/>
        <v>0</v>
      </c>
    </row>
    <row r="281" spans="16:16" x14ac:dyDescent="0.25">
      <c r="P281" s="24">
        <f t="shared" si="5"/>
        <v>0</v>
      </c>
    </row>
    <row r="282" spans="16:16" x14ac:dyDescent="0.25">
      <c r="P282" s="24">
        <f t="shared" si="5"/>
        <v>0</v>
      </c>
    </row>
    <row r="283" spans="16:16" x14ac:dyDescent="0.25">
      <c r="P283" s="24">
        <f t="shared" si="5"/>
        <v>0</v>
      </c>
    </row>
    <row r="284" spans="16:16" x14ac:dyDescent="0.25">
      <c r="P284" s="24">
        <f t="shared" si="5"/>
        <v>0</v>
      </c>
    </row>
    <row r="285" spans="16:16" x14ac:dyDescent="0.25">
      <c r="P285" s="24">
        <f t="shared" si="5"/>
        <v>0</v>
      </c>
    </row>
    <row r="286" spans="16:16" x14ac:dyDescent="0.25">
      <c r="P286" s="24">
        <f t="shared" si="5"/>
        <v>0</v>
      </c>
    </row>
    <row r="287" spans="16:16" x14ac:dyDescent="0.25">
      <c r="P287" s="24">
        <f t="shared" si="5"/>
        <v>0</v>
      </c>
    </row>
    <row r="288" spans="16:16" x14ac:dyDescent="0.25">
      <c r="P288" s="24">
        <f t="shared" si="5"/>
        <v>0</v>
      </c>
    </row>
    <row r="289" spans="16:16" x14ac:dyDescent="0.25">
      <c r="P289" s="24">
        <f t="shared" si="5"/>
        <v>0</v>
      </c>
    </row>
    <row r="290" spans="16:16" x14ac:dyDescent="0.25">
      <c r="P290" s="24">
        <f t="shared" si="5"/>
        <v>0</v>
      </c>
    </row>
    <row r="291" spans="16:16" x14ac:dyDescent="0.25">
      <c r="P291" s="24">
        <f t="shared" si="5"/>
        <v>0</v>
      </c>
    </row>
    <row r="292" spans="16:16" x14ac:dyDescent="0.25">
      <c r="P292" s="24">
        <f t="shared" si="5"/>
        <v>0</v>
      </c>
    </row>
    <row r="293" spans="16:16" x14ac:dyDescent="0.25">
      <c r="P293" s="24">
        <f t="shared" si="5"/>
        <v>0</v>
      </c>
    </row>
    <row r="294" spans="16:16" x14ac:dyDescent="0.25">
      <c r="P294" s="24">
        <f t="shared" si="5"/>
        <v>0</v>
      </c>
    </row>
    <row r="295" spans="16:16" x14ac:dyDescent="0.25">
      <c r="P295" s="24">
        <f t="shared" si="5"/>
        <v>0</v>
      </c>
    </row>
    <row r="296" spans="16:16" x14ac:dyDescent="0.25">
      <c r="P296" s="24">
        <f t="shared" si="5"/>
        <v>0</v>
      </c>
    </row>
    <row r="297" spans="16:16" x14ac:dyDescent="0.25">
      <c r="P297" s="24">
        <f t="shared" si="5"/>
        <v>0</v>
      </c>
    </row>
    <row r="298" spans="16:16" x14ac:dyDescent="0.25">
      <c r="P298" s="24">
        <f t="shared" ref="P298:P361" si="6">H298-G298</f>
        <v>0</v>
      </c>
    </row>
    <row r="299" spans="16:16" x14ac:dyDescent="0.25">
      <c r="P299" s="24">
        <f t="shared" si="6"/>
        <v>0</v>
      </c>
    </row>
    <row r="300" spans="16:16" x14ac:dyDescent="0.25">
      <c r="P300" s="24">
        <f t="shared" si="6"/>
        <v>0</v>
      </c>
    </row>
    <row r="301" spans="16:16" x14ac:dyDescent="0.25">
      <c r="P301" s="24">
        <f t="shared" si="6"/>
        <v>0</v>
      </c>
    </row>
    <row r="302" spans="16:16" x14ac:dyDescent="0.25">
      <c r="P302" s="24">
        <f t="shared" si="6"/>
        <v>0</v>
      </c>
    </row>
    <row r="303" spans="16:16" x14ac:dyDescent="0.25">
      <c r="P303" s="24">
        <f t="shared" si="6"/>
        <v>0</v>
      </c>
    </row>
    <row r="304" spans="16:16" x14ac:dyDescent="0.25">
      <c r="P304" s="24">
        <f t="shared" si="6"/>
        <v>0</v>
      </c>
    </row>
    <row r="305" spans="16:16" x14ac:dyDescent="0.25">
      <c r="P305" s="24">
        <f t="shared" si="6"/>
        <v>0</v>
      </c>
    </row>
    <row r="306" spans="16:16" x14ac:dyDescent="0.25">
      <c r="P306" s="24">
        <f t="shared" si="6"/>
        <v>0</v>
      </c>
    </row>
    <row r="307" spans="16:16" x14ac:dyDescent="0.25">
      <c r="P307" s="24">
        <f t="shared" si="6"/>
        <v>0</v>
      </c>
    </row>
    <row r="308" spans="16:16" x14ac:dyDescent="0.25">
      <c r="P308" s="24">
        <f t="shared" si="6"/>
        <v>0</v>
      </c>
    </row>
    <row r="309" spans="16:16" x14ac:dyDescent="0.25">
      <c r="P309" s="24">
        <f t="shared" si="6"/>
        <v>0</v>
      </c>
    </row>
    <row r="310" spans="16:16" x14ac:dyDescent="0.25">
      <c r="P310" s="24">
        <f t="shared" si="6"/>
        <v>0</v>
      </c>
    </row>
    <row r="311" spans="16:16" x14ac:dyDescent="0.25">
      <c r="P311" s="24">
        <f t="shared" si="6"/>
        <v>0</v>
      </c>
    </row>
    <row r="312" spans="16:16" x14ac:dyDescent="0.25">
      <c r="P312" s="24">
        <f t="shared" si="6"/>
        <v>0</v>
      </c>
    </row>
    <row r="313" spans="16:16" x14ac:dyDescent="0.25">
      <c r="P313" s="24">
        <f t="shared" si="6"/>
        <v>0</v>
      </c>
    </row>
    <row r="314" spans="16:16" x14ac:dyDescent="0.25">
      <c r="P314" s="24">
        <f t="shared" si="6"/>
        <v>0</v>
      </c>
    </row>
    <row r="315" spans="16:16" x14ac:dyDescent="0.25">
      <c r="P315" s="24">
        <f t="shared" si="6"/>
        <v>0</v>
      </c>
    </row>
    <row r="316" spans="16:16" x14ac:dyDescent="0.25">
      <c r="P316" s="24">
        <f t="shared" si="6"/>
        <v>0</v>
      </c>
    </row>
    <row r="317" spans="16:16" x14ac:dyDescent="0.25">
      <c r="P317" s="24">
        <f t="shared" si="6"/>
        <v>0</v>
      </c>
    </row>
    <row r="318" spans="16:16" x14ac:dyDescent="0.25">
      <c r="P318" s="24">
        <f t="shared" si="6"/>
        <v>0</v>
      </c>
    </row>
    <row r="319" spans="16:16" x14ac:dyDescent="0.25">
      <c r="P319" s="24">
        <f t="shared" si="6"/>
        <v>0</v>
      </c>
    </row>
    <row r="320" spans="16:16" x14ac:dyDescent="0.25">
      <c r="P320" s="24">
        <f t="shared" si="6"/>
        <v>0</v>
      </c>
    </row>
    <row r="321" spans="16:16" x14ac:dyDescent="0.25">
      <c r="P321" s="24">
        <f t="shared" si="6"/>
        <v>0</v>
      </c>
    </row>
    <row r="322" spans="16:16" x14ac:dyDescent="0.25">
      <c r="P322" s="24">
        <f t="shared" si="6"/>
        <v>0</v>
      </c>
    </row>
    <row r="323" spans="16:16" x14ac:dyDescent="0.25">
      <c r="P323" s="24">
        <f t="shared" si="6"/>
        <v>0</v>
      </c>
    </row>
    <row r="324" spans="16:16" x14ac:dyDescent="0.25">
      <c r="P324" s="24">
        <f t="shared" si="6"/>
        <v>0</v>
      </c>
    </row>
    <row r="325" spans="16:16" x14ac:dyDescent="0.25">
      <c r="P325" s="24">
        <f t="shared" si="6"/>
        <v>0</v>
      </c>
    </row>
    <row r="326" spans="16:16" x14ac:dyDescent="0.25">
      <c r="P326" s="24">
        <f t="shared" si="6"/>
        <v>0</v>
      </c>
    </row>
    <row r="327" spans="16:16" x14ac:dyDescent="0.25">
      <c r="P327" s="24">
        <f t="shared" si="6"/>
        <v>0</v>
      </c>
    </row>
    <row r="328" spans="16:16" x14ac:dyDescent="0.25">
      <c r="P328" s="24">
        <f t="shared" si="6"/>
        <v>0</v>
      </c>
    </row>
    <row r="329" spans="16:16" x14ac:dyDescent="0.25">
      <c r="P329" s="24">
        <f t="shared" si="6"/>
        <v>0</v>
      </c>
    </row>
    <row r="330" spans="16:16" x14ac:dyDescent="0.25">
      <c r="P330" s="24">
        <f t="shared" si="6"/>
        <v>0</v>
      </c>
    </row>
    <row r="331" spans="16:16" x14ac:dyDescent="0.25">
      <c r="P331" s="24">
        <f t="shared" si="6"/>
        <v>0</v>
      </c>
    </row>
    <row r="332" spans="16:16" x14ac:dyDescent="0.25">
      <c r="P332" s="24">
        <f t="shared" si="6"/>
        <v>0</v>
      </c>
    </row>
    <row r="333" spans="16:16" x14ac:dyDescent="0.25">
      <c r="P333" s="24">
        <f t="shared" si="6"/>
        <v>0</v>
      </c>
    </row>
    <row r="334" spans="16:16" x14ac:dyDescent="0.25">
      <c r="P334" s="24">
        <f t="shared" si="6"/>
        <v>0</v>
      </c>
    </row>
    <row r="335" spans="16:16" x14ac:dyDescent="0.25">
      <c r="P335" s="24">
        <f t="shared" si="6"/>
        <v>0</v>
      </c>
    </row>
    <row r="336" spans="16:16" x14ac:dyDescent="0.25">
      <c r="P336" s="24">
        <f t="shared" si="6"/>
        <v>0</v>
      </c>
    </row>
    <row r="337" spans="16:16" x14ac:dyDescent="0.25">
      <c r="P337" s="24">
        <f t="shared" si="6"/>
        <v>0</v>
      </c>
    </row>
    <row r="338" spans="16:16" x14ac:dyDescent="0.25">
      <c r="P338" s="24">
        <f t="shared" si="6"/>
        <v>0</v>
      </c>
    </row>
    <row r="339" spans="16:16" x14ac:dyDescent="0.25">
      <c r="P339" s="24">
        <f t="shared" si="6"/>
        <v>0</v>
      </c>
    </row>
    <row r="340" spans="16:16" x14ac:dyDescent="0.25">
      <c r="P340" s="24">
        <f t="shared" si="6"/>
        <v>0</v>
      </c>
    </row>
    <row r="341" spans="16:16" x14ac:dyDescent="0.25">
      <c r="P341" s="24">
        <f t="shared" si="6"/>
        <v>0</v>
      </c>
    </row>
    <row r="342" spans="16:16" x14ac:dyDescent="0.25">
      <c r="P342" s="24">
        <f t="shared" si="6"/>
        <v>0</v>
      </c>
    </row>
    <row r="343" spans="16:16" x14ac:dyDescent="0.25">
      <c r="P343" s="24">
        <f t="shared" si="6"/>
        <v>0</v>
      </c>
    </row>
    <row r="344" spans="16:16" x14ac:dyDescent="0.25">
      <c r="P344" s="24">
        <f t="shared" si="6"/>
        <v>0</v>
      </c>
    </row>
    <row r="345" spans="16:16" x14ac:dyDescent="0.25">
      <c r="P345" s="24">
        <f t="shared" si="6"/>
        <v>0</v>
      </c>
    </row>
    <row r="346" spans="16:16" x14ac:dyDescent="0.25">
      <c r="P346" s="24">
        <f t="shared" si="6"/>
        <v>0</v>
      </c>
    </row>
    <row r="347" spans="16:16" x14ac:dyDescent="0.25">
      <c r="P347" s="24">
        <f t="shared" si="6"/>
        <v>0</v>
      </c>
    </row>
    <row r="348" spans="16:16" x14ac:dyDescent="0.25">
      <c r="P348" s="24">
        <f t="shared" si="6"/>
        <v>0</v>
      </c>
    </row>
    <row r="349" spans="16:16" x14ac:dyDescent="0.25">
      <c r="P349" s="24">
        <f t="shared" si="6"/>
        <v>0</v>
      </c>
    </row>
    <row r="350" spans="16:16" x14ac:dyDescent="0.25">
      <c r="P350" s="24">
        <f t="shared" si="6"/>
        <v>0</v>
      </c>
    </row>
    <row r="351" spans="16:16" x14ac:dyDescent="0.25">
      <c r="P351" s="24">
        <f t="shared" si="6"/>
        <v>0</v>
      </c>
    </row>
    <row r="352" spans="16:16" x14ac:dyDescent="0.25">
      <c r="P352" s="24">
        <f t="shared" si="6"/>
        <v>0</v>
      </c>
    </row>
    <row r="353" spans="16:16" x14ac:dyDescent="0.25">
      <c r="P353" s="24">
        <f t="shared" si="6"/>
        <v>0</v>
      </c>
    </row>
    <row r="354" spans="16:16" x14ac:dyDescent="0.25">
      <c r="P354" s="24">
        <f t="shared" si="6"/>
        <v>0</v>
      </c>
    </row>
    <row r="355" spans="16:16" x14ac:dyDescent="0.25">
      <c r="P355" s="24">
        <f t="shared" si="6"/>
        <v>0</v>
      </c>
    </row>
    <row r="356" spans="16:16" x14ac:dyDescent="0.25">
      <c r="P356" s="24">
        <f t="shared" si="6"/>
        <v>0</v>
      </c>
    </row>
    <row r="357" spans="16:16" x14ac:dyDescent="0.25">
      <c r="P357" s="24">
        <f t="shared" si="6"/>
        <v>0</v>
      </c>
    </row>
    <row r="358" spans="16:16" x14ac:dyDescent="0.25">
      <c r="P358" s="24">
        <f t="shared" si="6"/>
        <v>0</v>
      </c>
    </row>
    <row r="359" spans="16:16" x14ac:dyDescent="0.25">
      <c r="P359" s="24">
        <f t="shared" si="6"/>
        <v>0</v>
      </c>
    </row>
    <row r="360" spans="16:16" x14ac:dyDescent="0.25">
      <c r="P360" s="24">
        <f t="shared" si="6"/>
        <v>0</v>
      </c>
    </row>
    <row r="361" spans="16:16" x14ac:dyDescent="0.25">
      <c r="P361" s="24">
        <f t="shared" si="6"/>
        <v>0</v>
      </c>
    </row>
    <row r="362" spans="16:16" x14ac:dyDescent="0.25">
      <c r="P362" s="24">
        <f t="shared" ref="P362:P425" si="7">H362-G362</f>
        <v>0</v>
      </c>
    </row>
    <row r="363" spans="16:16" x14ac:dyDescent="0.25">
      <c r="P363" s="24">
        <f t="shared" si="7"/>
        <v>0</v>
      </c>
    </row>
    <row r="364" spans="16:16" x14ac:dyDescent="0.25">
      <c r="P364" s="24">
        <f t="shared" si="7"/>
        <v>0</v>
      </c>
    </row>
    <row r="365" spans="16:16" x14ac:dyDescent="0.25">
      <c r="P365" s="24">
        <f t="shared" si="7"/>
        <v>0</v>
      </c>
    </row>
    <row r="366" spans="16:16" x14ac:dyDescent="0.25">
      <c r="P366" s="24">
        <f t="shared" si="7"/>
        <v>0</v>
      </c>
    </row>
    <row r="367" spans="16:16" x14ac:dyDescent="0.25">
      <c r="P367" s="24">
        <f t="shared" si="7"/>
        <v>0</v>
      </c>
    </row>
    <row r="368" spans="16:16" x14ac:dyDescent="0.25">
      <c r="P368" s="24">
        <f t="shared" si="7"/>
        <v>0</v>
      </c>
    </row>
    <row r="369" spans="16:16" x14ac:dyDescent="0.25">
      <c r="P369" s="24">
        <f t="shared" si="7"/>
        <v>0</v>
      </c>
    </row>
    <row r="370" spans="16:16" x14ac:dyDescent="0.25">
      <c r="P370" s="24">
        <f t="shared" si="7"/>
        <v>0</v>
      </c>
    </row>
    <row r="371" spans="16:16" x14ac:dyDescent="0.25">
      <c r="P371" s="24">
        <f t="shared" si="7"/>
        <v>0</v>
      </c>
    </row>
    <row r="372" spans="16:16" x14ac:dyDescent="0.25">
      <c r="P372" s="24">
        <f t="shared" si="7"/>
        <v>0</v>
      </c>
    </row>
    <row r="373" spans="16:16" x14ac:dyDescent="0.25">
      <c r="P373" s="24">
        <f t="shared" si="7"/>
        <v>0</v>
      </c>
    </row>
    <row r="374" spans="16:16" x14ac:dyDescent="0.25">
      <c r="P374" s="24">
        <f t="shared" si="7"/>
        <v>0</v>
      </c>
    </row>
    <row r="375" spans="16:16" x14ac:dyDescent="0.25">
      <c r="P375" s="24">
        <f t="shared" si="7"/>
        <v>0</v>
      </c>
    </row>
    <row r="376" spans="16:16" x14ac:dyDescent="0.25">
      <c r="P376" s="24">
        <f t="shared" si="7"/>
        <v>0</v>
      </c>
    </row>
    <row r="377" spans="16:16" x14ac:dyDescent="0.25">
      <c r="P377" s="24">
        <f t="shared" si="7"/>
        <v>0</v>
      </c>
    </row>
    <row r="378" spans="16:16" x14ac:dyDescent="0.25">
      <c r="P378" s="24">
        <f t="shared" si="7"/>
        <v>0</v>
      </c>
    </row>
    <row r="379" spans="16:16" x14ac:dyDescent="0.25">
      <c r="P379" s="24">
        <f t="shared" si="7"/>
        <v>0</v>
      </c>
    </row>
    <row r="380" spans="16:16" x14ac:dyDescent="0.25">
      <c r="P380" s="24">
        <f t="shared" si="7"/>
        <v>0</v>
      </c>
    </row>
    <row r="381" spans="16:16" x14ac:dyDescent="0.25">
      <c r="P381" s="24">
        <f t="shared" si="7"/>
        <v>0</v>
      </c>
    </row>
    <row r="382" spans="16:16" x14ac:dyDescent="0.25">
      <c r="P382" s="24">
        <f t="shared" si="7"/>
        <v>0</v>
      </c>
    </row>
    <row r="383" spans="16:16" x14ac:dyDescent="0.25">
      <c r="P383" s="24">
        <f t="shared" si="7"/>
        <v>0</v>
      </c>
    </row>
    <row r="384" spans="16:16" x14ac:dyDescent="0.25">
      <c r="P384" s="24">
        <f t="shared" si="7"/>
        <v>0</v>
      </c>
    </row>
    <row r="385" spans="16:16" x14ac:dyDescent="0.25">
      <c r="P385" s="24">
        <f t="shared" si="7"/>
        <v>0</v>
      </c>
    </row>
    <row r="386" spans="16:16" x14ac:dyDescent="0.25">
      <c r="P386" s="24">
        <f t="shared" si="7"/>
        <v>0</v>
      </c>
    </row>
    <row r="387" spans="16:16" x14ac:dyDescent="0.25">
      <c r="P387" s="24">
        <f t="shared" si="7"/>
        <v>0</v>
      </c>
    </row>
    <row r="388" spans="16:16" x14ac:dyDescent="0.25">
      <c r="P388" s="24">
        <f t="shared" si="7"/>
        <v>0</v>
      </c>
    </row>
    <row r="389" spans="16:16" x14ac:dyDescent="0.25">
      <c r="P389" s="24">
        <f t="shared" si="7"/>
        <v>0</v>
      </c>
    </row>
    <row r="390" spans="16:16" x14ac:dyDescent="0.25">
      <c r="P390" s="24">
        <f t="shared" si="7"/>
        <v>0</v>
      </c>
    </row>
    <row r="391" spans="16:16" x14ac:dyDescent="0.25">
      <c r="P391" s="24">
        <f t="shared" si="7"/>
        <v>0</v>
      </c>
    </row>
    <row r="392" spans="16:16" x14ac:dyDescent="0.25">
      <c r="P392" s="24">
        <f t="shared" si="7"/>
        <v>0</v>
      </c>
    </row>
    <row r="393" spans="16:16" x14ac:dyDescent="0.25">
      <c r="P393" s="24">
        <f t="shared" si="7"/>
        <v>0</v>
      </c>
    </row>
    <row r="394" spans="16:16" x14ac:dyDescent="0.25">
      <c r="P394" s="24">
        <f t="shared" si="7"/>
        <v>0</v>
      </c>
    </row>
    <row r="395" spans="16:16" x14ac:dyDescent="0.25">
      <c r="P395" s="24">
        <f t="shared" si="7"/>
        <v>0</v>
      </c>
    </row>
    <row r="396" spans="16:16" x14ac:dyDescent="0.25">
      <c r="P396" s="24">
        <f t="shared" si="7"/>
        <v>0</v>
      </c>
    </row>
    <row r="397" spans="16:16" x14ac:dyDescent="0.25">
      <c r="P397" s="24">
        <f t="shared" si="7"/>
        <v>0</v>
      </c>
    </row>
    <row r="398" spans="16:16" x14ac:dyDescent="0.25">
      <c r="P398" s="24">
        <f t="shared" si="7"/>
        <v>0</v>
      </c>
    </row>
    <row r="399" spans="16:16" x14ac:dyDescent="0.25">
      <c r="P399" s="24">
        <f t="shared" si="7"/>
        <v>0</v>
      </c>
    </row>
    <row r="400" spans="16:16" x14ac:dyDescent="0.25">
      <c r="P400" s="24">
        <f t="shared" si="7"/>
        <v>0</v>
      </c>
    </row>
    <row r="401" spans="16:16" x14ac:dyDescent="0.25">
      <c r="P401" s="24">
        <f t="shared" si="7"/>
        <v>0</v>
      </c>
    </row>
    <row r="402" spans="16:16" x14ac:dyDescent="0.25">
      <c r="P402" s="24">
        <f t="shared" si="7"/>
        <v>0</v>
      </c>
    </row>
    <row r="403" spans="16:16" x14ac:dyDescent="0.25">
      <c r="P403" s="24">
        <f t="shared" si="7"/>
        <v>0</v>
      </c>
    </row>
    <row r="404" spans="16:16" x14ac:dyDescent="0.25">
      <c r="P404" s="24">
        <f t="shared" si="7"/>
        <v>0</v>
      </c>
    </row>
    <row r="405" spans="16:16" x14ac:dyDescent="0.25">
      <c r="P405" s="24">
        <f t="shared" si="7"/>
        <v>0</v>
      </c>
    </row>
    <row r="406" spans="16:16" x14ac:dyDescent="0.25">
      <c r="P406" s="24">
        <f t="shared" si="7"/>
        <v>0</v>
      </c>
    </row>
    <row r="407" spans="16:16" x14ac:dyDescent="0.25">
      <c r="P407" s="24">
        <f t="shared" si="7"/>
        <v>0</v>
      </c>
    </row>
    <row r="408" spans="16:16" x14ac:dyDescent="0.25">
      <c r="P408" s="24">
        <f t="shared" si="7"/>
        <v>0</v>
      </c>
    </row>
    <row r="409" spans="16:16" x14ac:dyDescent="0.25">
      <c r="P409" s="24">
        <f t="shared" si="7"/>
        <v>0</v>
      </c>
    </row>
    <row r="410" spans="16:16" x14ac:dyDescent="0.25">
      <c r="P410" s="24">
        <f t="shared" si="7"/>
        <v>0</v>
      </c>
    </row>
    <row r="411" spans="16:16" x14ac:dyDescent="0.25">
      <c r="P411" s="24">
        <f t="shared" si="7"/>
        <v>0</v>
      </c>
    </row>
    <row r="412" spans="16:16" x14ac:dyDescent="0.25">
      <c r="P412" s="24">
        <f t="shared" si="7"/>
        <v>0</v>
      </c>
    </row>
    <row r="413" spans="16:16" x14ac:dyDescent="0.25">
      <c r="P413" s="24">
        <f t="shared" si="7"/>
        <v>0</v>
      </c>
    </row>
    <row r="414" spans="16:16" x14ac:dyDescent="0.25">
      <c r="P414" s="24">
        <f t="shared" si="7"/>
        <v>0</v>
      </c>
    </row>
    <row r="415" spans="16:16" x14ac:dyDescent="0.25">
      <c r="P415" s="24">
        <f t="shared" si="7"/>
        <v>0</v>
      </c>
    </row>
    <row r="416" spans="16:16" x14ac:dyDescent="0.25">
      <c r="P416" s="24">
        <f t="shared" si="7"/>
        <v>0</v>
      </c>
    </row>
    <row r="417" spans="16:16" x14ac:dyDescent="0.25">
      <c r="P417" s="24">
        <f t="shared" si="7"/>
        <v>0</v>
      </c>
    </row>
    <row r="418" spans="16:16" x14ac:dyDescent="0.25">
      <c r="P418" s="24">
        <f t="shared" si="7"/>
        <v>0</v>
      </c>
    </row>
    <row r="419" spans="16:16" x14ac:dyDescent="0.25">
      <c r="P419" s="24">
        <f t="shared" si="7"/>
        <v>0</v>
      </c>
    </row>
    <row r="420" spans="16:16" x14ac:dyDescent="0.25">
      <c r="P420" s="24">
        <f t="shared" si="7"/>
        <v>0</v>
      </c>
    </row>
    <row r="421" spans="16:16" x14ac:dyDescent="0.25">
      <c r="P421" s="24">
        <f t="shared" si="7"/>
        <v>0</v>
      </c>
    </row>
    <row r="422" spans="16:16" x14ac:dyDescent="0.25">
      <c r="P422" s="24">
        <f t="shared" si="7"/>
        <v>0</v>
      </c>
    </row>
    <row r="423" spans="16:16" x14ac:dyDescent="0.25">
      <c r="P423" s="24">
        <f t="shared" si="7"/>
        <v>0</v>
      </c>
    </row>
    <row r="424" spans="16:16" x14ac:dyDescent="0.25">
      <c r="P424" s="24">
        <f t="shared" si="7"/>
        <v>0</v>
      </c>
    </row>
    <row r="425" spans="16:16" x14ac:dyDescent="0.25">
      <c r="P425" s="24">
        <f t="shared" si="7"/>
        <v>0</v>
      </c>
    </row>
    <row r="426" spans="16:16" x14ac:dyDescent="0.25">
      <c r="P426" s="24">
        <f t="shared" ref="P426:P489" si="8">H426-G426</f>
        <v>0</v>
      </c>
    </row>
    <row r="427" spans="16:16" x14ac:dyDescent="0.25">
      <c r="P427" s="24">
        <f t="shared" si="8"/>
        <v>0</v>
      </c>
    </row>
    <row r="428" spans="16:16" x14ac:dyDescent="0.25">
      <c r="P428" s="24">
        <f t="shared" si="8"/>
        <v>0</v>
      </c>
    </row>
    <row r="429" spans="16:16" x14ac:dyDescent="0.25">
      <c r="P429" s="24">
        <f t="shared" si="8"/>
        <v>0</v>
      </c>
    </row>
    <row r="430" spans="16:16" x14ac:dyDescent="0.25">
      <c r="P430" s="24">
        <f t="shared" si="8"/>
        <v>0</v>
      </c>
    </row>
    <row r="431" spans="16:16" x14ac:dyDescent="0.25">
      <c r="P431" s="24">
        <f t="shared" si="8"/>
        <v>0</v>
      </c>
    </row>
    <row r="432" spans="16:16" x14ac:dyDescent="0.25">
      <c r="P432" s="24">
        <f t="shared" si="8"/>
        <v>0</v>
      </c>
    </row>
    <row r="433" spans="16:16" x14ac:dyDescent="0.25">
      <c r="P433" s="24">
        <f t="shared" si="8"/>
        <v>0</v>
      </c>
    </row>
    <row r="434" spans="16:16" x14ac:dyDescent="0.25">
      <c r="P434" s="24">
        <f t="shared" si="8"/>
        <v>0</v>
      </c>
    </row>
    <row r="435" spans="16:16" x14ac:dyDescent="0.25">
      <c r="P435" s="24">
        <f t="shared" si="8"/>
        <v>0</v>
      </c>
    </row>
    <row r="436" spans="16:16" x14ac:dyDescent="0.25">
      <c r="P436" s="24">
        <f t="shared" si="8"/>
        <v>0</v>
      </c>
    </row>
    <row r="437" spans="16:16" x14ac:dyDescent="0.25">
      <c r="P437" s="24">
        <f t="shared" si="8"/>
        <v>0</v>
      </c>
    </row>
    <row r="438" spans="16:16" x14ac:dyDescent="0.25">
      <c r="P438" s="24">
        <f t="shared" si="8"/>
        <v>0</v>
      </c>
    </row>
    <row r="439" spans="16:16" x14ac:dyDescent="0.25">
      <c r="P439" s="24">
        <f t="shared" si="8"/>
        <v>0</v>
      </c>
    </row>
    <row r="440" spans="16:16" x14ac:dyDescent="0.25">
      <c r="P440" s="24">
        <f t="shared" si="8"/>
        <v>0</v>
      </c>
    </row>
    <row r="441" spans="16:16" x14ac:dyDescent="0.25">
      <c r="P441" s="24">
        <f t="shared" si="8"/>
        <v>0</v>
      </c>
    </row>
    <row r="442" spans="16:16" x14ac:dyDescent="0.25">
      <c r="P442" s="24">
        <f t="shared" si="8"/>
        <v>0</v>
      </c>
    </row>
    <row r="443" spans="16:16" x14ac:dyDescent="0.25">
      <c r="P443" s="24">
        <f t="shared" si="8"/>
        <v>0</v>
      </c>
    </row>
    <row r="444" spans="16:16" x14ac:dyDescent="0.25">
      <c r="P444" s="24">
        <f t="shared" si="8"/>
        <v>0</v>
      </c>
    </row>
    <row r="445" spans="16:16" x14ac:dyDescent="0.25">
      <c r="P445" s="24">
        <f t="shared" si="8"/>
        <v>0</v>
      </c>
    </row>
    <row r="446" spans="16:16" x14ac:dyDescent="0.25">
      <c r="P446" s="24">
        <f t="shared" si="8"/>
        <v>0</v>
      </c>
    </row>
    <row r="447" spans="16:16" x14ac:dyDescent="0.25">
      <c r="P447" s="24">
        <f t="shared" si="8"/>
        <v>0</v>
      </c>
    </row>
    <row r="448" spans="16:16" x14ac:dyDescent="0.25">
      <c r="P448" s="24">
        <f t="shared" si="8"/>
        <v>0</v>
      </c>
    </row>
    <row r="449" spans="16:16" x14ac:dyDescent="0.25">
      <c r="P449" s="24">
        <f t="shared" si="8"/>
        <v>0</v>
      </c>
    </row>
    <row r="450" spans="16:16" x14ac:dyDescent="0.25">
      <c r="P450" s="24">
        <f t="shared" si="8"/>
        <v>0</v>
      </c>
    </row>
    <row r="451" spans="16:16" x14ac:dyDescent="0.25">
      <c r="P451" s="24">
        <f t="shared" si="8"/>
        <v>0</v>
      </c>
    </row>
    <row r="452" spans="16:16" x14ac:dyDescent="0.25">
      <c r="P452" s="24">
        <f t="shared" si="8"/>
        <v>0</v>
      </c>
    </row>
    <row r="453" spans="16:16" x14ac:dyDescent="0.25">
      <c r="P453" s="24">
        <f t="shared" si="8"/>
        <v>0</v>
      </c>
    </row>
    <row r="454" spans="16:16" x14ac:dyDescent="0.25">
      <c r="P454" s="24">
        <f t="shared" si="8"/>
        <v>0</v>
      </c>
    </row>
    <row r="455" spans="16:16" x14ac:dyDescent="0.25">
      <c r="P455" s="24">
        <f t="shared" si="8"/>
        <v>0</v>
      </c>
    </row>
    <row r="456" spans="16:16" x14ac:dyDescent="0.25">
      <c r="P456" s="24">
        <f t="shared" si="8"/>
        <v>0</v>
      </c>
    </row>
    <row r="457" spans="16:16" x14ac:dyDescent="0.25">
      <c r="P457" s="24">
        <f t="shared" si="8"/>
        <v>0</v>
      </c>
    </row>
    <row r="458" spans="16:16" x14ac:dyDescent="0.25">
      <c r="P458" s="24">
        <f t="shared" si="8"/>
        <v>0</v>
      </c>
    </row>
    <row r="459" spans="16:16" x14ac:dyDescent="0.25">
      <c r="P459" s="24">
        <f t="shared" si="8"/>
        <v>0</v>
      </c>
    </row>
    <row r="460" spans="16:16" x14ac:dyDescent="0.25">
      <c r="P460" s="24">
        <f t="shared" si="8"/>
        <v>0</v>
      </c>
    </row>
    <row r="461" spans="16:16" x14ac:dyDescent="0.25">
      <c r="P461" s="24">
        <f t="shared" si="8"/>
        <v>0</v>
      </c>
    </row>
    <row r="462" spans="16:16" x14ac:dyDescent="0.25">
      <c r="P462" s="24">
        <f t="shared" si="8"/>
        <v>0</v>
      </c>
    </row>
    <row r="463" spans="16:16" x14ac:dyDescent="0.25">
      <c r="P463" s="24">
        <f t="shared" si="8"/>
        <v>0</v>
      </c>
    </row>
    <row r="464" spans="16:16" x14ac:dyDescent="0.25">
      <c r="P464" s="24">
        <f t="shared" si="8"/>
        <v>0</v>
      </c>
    </row>
    <row r="465" spans="16:16" x14ac:dyDescent="0.25">
      <c r="P465" s="24">
        <f t="shared" si="8"/>
        <v>0</v>
      </c>
    </row>
    <row r="466" spans="16:16" x14ac:dyDescent="0.25">
      <c r="P466" s="24">
        <f t="shared" si="8"/>
        <v>0</v>
      </c>
    </row>
    <row r="467" spans="16:16" x14ac:dyDescent="0.25">
      <c r="P467" s="24">
        <f t="shared" si="8"/>
        <v>0</v>
      </c>
    </row>
    <row r="468" spans="16:16" x14ac:dyDescent="0.25">
      <c r="P468" s="24">
        <f t="shared" si="8"/>
        <v>0</v>
      </c>
    </row>
    <row r="469" spans="16:16" x14ac:dyDescent="0.25">
      <c r="P469" s="24">
        <f t="shared" si="8"/>
        <v>0</v>
      </c>
    </row>
    <row r="470" spans="16:16" x14ac:dyDescent="0.25">
      <c r="P470" s="24">
        <f t="shared" si="8"/>
        <v>0</v>
      </c>
    </row>
    <row r="471" spans="16:16" x14ac:dyDescent="0.25">
      <c r="P471" s="24">
        <f t="shared" si="8"/>
        <v>0</v>
      </c>
    </row>
    <row r="472" spans="16:16" x14ac:dyDescent="0.25">
      <c r="P472" s="24">
        <f t="shared" si="8"/>
        <v>0</v>
      </c>
    </row>
    <row r="473" spans="16:16" x14ac:dyDescent="0.25">
      <c r="P473" s="24">
        <f t="shared" si="8"/>
        <v>0</v>
      </c>
    </row>
    <row r="474" spans="16:16" x14ac:dyDescent="0.25">
      <c r="P474" s="24">
        <f t="shared" si="8"/>
        <v>0</v>
      </c>
    </row>
    <row r="475" spans="16:16" x14ac:dyDescent="0.25">
      <c r="P475" s="24">
        <f t="shared" si="8"/>
        <v>0</v>
      </c>
    </row>
    <row r="476" spans="16:16" x14ac:dyDescent="0.25">
      <c r="P476" s="24">
        <f t="shared" si="8"/>
        <v>0</v>
      </c>
    </row>
    <row r="477" spans="16:16" x14ac:dyDescent="0.25">
      <c r="P477" s="24">
        <f t="shared" si="8"/>
        <v>0</v>
      </c>
    </row>
    <row r="478" spans="16:16" x14ac:dyDescent="0.25">
      <c r="P478" s="24">
        <f t="shared" si="8"/>
        <v>0</v>
      </c>
    </row>
    <row r="479" spans="16:16" x14ac:dyDescent="0.25">
      <c r="P479" s="24">
        <f t="shared" si="8"/>
        <v>0</v>
      </c>
    </row>
    <row r="480" spans="16:16" x14ac:dyDescent="0.25">
      <c r="P480" s="24">
        <f t="shared" si="8"/>
        <v>0</v>
      </c>
    </row>
    <row r="481" spans="16:16" x14ac:dyDescent="0.25">
      <c r="P481" s="24">
        <f t="shared" si="8"/>
        <v>0</v>
      </c>
    </row>
    <row r="482" spans="16:16" x14ac:dyDescent="0.25">
      <c r="P482" s="24">
        <f t="shared" si="8"/>
        <v>0</v>
      </c>
    </row>
    <row r="483" spans="16:16" x14ac:dyDescent="0.25">
      <c r="P483" s="24">
        <f t="shared" si="8"/>
        <v>0</v>
      </c>
    </row>
    <row r="484" spans="16:16" x14ac:dyDescent="0.25">
      <c r="P484" s="24">
        <f t="shared" si="8"/>
        <v>0</v>
      </c>
    </row>
    <row r="485" spans="16:16" x14ac:dyDescent="0.25">
      <c r="P485" s="24">
        <f t="shared" si="8"/>
        <v>0</v>
      </c>
    </row>
    <row r="486" spans="16:16" x14ac:dyDescent="0.25">
      <c r="P486" s="24">
        <f t="shared" si="8"/>
        <v>0</v>
      </c>
    </row>
    <row r="487" spans="16:16" x14ac:dyDescent="0.25">
      <c r="P487" s="24">
        <f t="shared" si="8"/>
        <v>0</v>
      </c>
    </row>
    <row r="488" spans="16:16" x14ac:dyDescent="0.25">
      <c r="P488" s="24">
        <f t="shared" si="8"/>
        <v>0</v>
      </c>
    </row>
    <row r="489" spans="16:16" x14ac:dyDescent="0.25">
      <c r="P489" s="24">
        <f t="shared" si="8"/>
        <v>0</v>
      </c>
    </row>
    <row r="490" spans="16:16" x14ac:dyDescent="0.25">
      <c r="P490" s="24">
        <f t="shared" ref="P490:P553" si="9">H490-G490</f>
        <v>0</v>
      </c>
    </row>
    <row r="491" spans="16:16" x14ac:dyDescent="0.25">
      <c r="P491" s="24">
        <f t="shared" si="9"/>
        <v>0</v>
      </c>
    </row>
    <row r="492" spans="16:16" x14ac:dyDescent="0.25">
      <c r="P492" s="24">
        <f t="shared" si="9"/>
        <v>0</v>
      </c>
    </row>
    <row r="493" spans="16:16" x14ac:dyDescent="0.25">
      <c r="P493" s="24">
        <f t="shared" si="9"/>
        <v>0</v>
      </c>
    </row>
    <row r="494" spans="16:16" x14ac:dyDescent="0.25">
      <c r="P494" s="24">
        <f t="shared" si="9"/>
        <v>0</v>
      </c>
    </row>
    <row r="495" spans="16:16" x14ac:dyDescent="0.25">
      <c r="P495" s="24">
        <f t="shared" si="9"/>
        <v>0</v>
      </c>
    </row>
    <row r="496" spans="16:16" x14ac:dyDescent="0.25">
      <c r="P496" s="24">
        <f t="shared" si="9"/>
        <v>0</v>
      </c>
    </row>
    <row r="497" spans="16:16" x14ac:dyDescent="0.25">
      <c r="P497" s="24">
        <f t="shared" si="9"/>
        <v>0</v>
      </c>
    </row>
    <row r="498" spans="16:16" x14ac:dyDescent="0.25">
      <c r="P498" s="24">
        <f t="shared" si="9"/>
        <v>0</v>
      </c>
    </row>
    <row r="499" spans="16:16" x14ac:dyDescent="0.25">
      <c r="P499" s="24">
        <f t="shared" si="9"/>
        <v>0</v>
      </c>
    </row>
    <row r="500" spans="16:16" x14ac:dyDescent="0.25">
      <c r="P500" s="24">
        <f t="shared" si="9"/>
        <v>0</v>
      </c>
    </row>
    <row r="501" spans="16:16" x14ac:dyDescent="0.25">
      <c r="P501" s="24">
        <f t="shared" si="9"/>
        <v>0</v>
      </c>
    </row>
    <row r="502" spans="16:16" x14ac:dyDescent="0.25">
      <c r="P502" s="24">
        <f t="shared" si="9"/>
        <v>0</v>
      </c>
    </row>
    <row r="503" spans="16:16" x14ac:dyDescent="0.25">
      <c r="P503" s="24">
        <f t="shared" si="9"/>
        <v>0</v>
      </c>
    </row>
    <row r="504" spans="16:16" x14ac:dyDescent="0.25">
      <c r="P504" s="24">
        <f t="shared" si="9"/>
        <v>0</v>
      </c>
    </row>
    <row r="505" spans="16:16" x14ac:dyDescent="0.25">
      <c r="P505" s="24">
        <f t="shared" si="9"/>
        <v>0</v>
      </c>
    </row>
    <row r="506" spans="16:16" x14ac:dyDescent="0.25">
      <c r="P506" s="24">
        <f t="shared" si="9"/>
        <v>0</v>
      </c>
    </row>
    <row r="507" spans="16:16" x14ac:dyDescent="0.25">
      <c r="P507" s="24">
        <f t="shared" si="9"/>
        <v>0</v>
      </c>
    </row>
    <row r="508" spans="16:16" x14ac:dyDescent="0.25">
      <c r="P508" s="24">
        <f t="shared" si="9"/>
        <v>0</v>
      </c>
    </row>
    <row r="509" spans="16:16" x14ac:dyDescent="0.25">
      <c r="P509" s="24">
        <f t="shared" si="9"/>
        <v>0</v>
      </c>
    </row>
    <row r="510" spans="16:16" x14ac:dyDescent="0.25">
      <c r="P510" s="24">
        <f t="shared" si="9"/>
        <v>0</v>
      </c>
    </row>
    <row r="511" spans="16:16" x14ac:dyDescent="0.25">
      <c r="P511" s="24">
        <f t="shared" si="9"/>
        <v>0</v>
      </c>
    </row>
    <row r="512" spans="16:16" x14ac:dyDescent="0.25">
      <c r="P512" s="24">
        <f t="shared" si="9"/>
        <v>0</v>
      </c>
    </row>
    <row r="513" spans="16:16" x14ac:dyDescent="0.25">
      <c r="P513" s="24">
        <f t="shared" si="9"/>
        <v>0</v>
      </c>
    </row>
    <row r="514" spans="16:16" x14ac:dyDescent="0.25">
      <c r="P514" s="24">
        <f t="shared" si="9"/>
        <v>0</v>
      </c>
    </row>
    <row r="515" spans="16:16" x14ac:dyDescent="0.25">
      <c r="P515" s="24">
        <f t="shared" si="9"/>
        <v>0</v>
      </c>
    </row>
    <row r="516" spans="16:16" x14ac:dyDescent="0.25">
      <c r="P516" s="24">
        <f t="shared" si="9"/>
        <v>0</v>
      </c>
    </row>
    <row r="517" spans="16:16" x14ac:dyDescent="0.25">
      <c r="P517" s="24">
        <f t="shared" si="9"/>
        <v>0</v>
      </c>
    </row>
    <row r="518" spans="16:16" x14ac:dyDescent="0.25">
      <c r="P518" s="24">
        <f t="shared" si="9"/>
        <v>0</v>
      </c>
    </row>
    <row r="519" spans="16:16" x14ac:dyDescent="0.25">
      <c r="P519" s="24">
        <f t="shared" si="9"/>
        <v>0</v>
      </c>
    </row>
    <row r="520" spans="16:16" x14ac:dyDescent="0.25">
      <c r="P520" s="24">
        <f t="shared" si="9"/>
        <v>0</v>
      </c>
    </row>
    <row r="521" spans="16:16" x14ac:dyDescent="0.25">
      <c r="P521" s="24">
        <f t="shared" si="9"/>
        <v>0</v>
      </c>
    </row>
    <row r="522" spans="16:16" x14ac:dyDescent="0.25">
      <c r="P522" s="24">
        <f t="shared" si="9"/>
        <v>0</v>
      </c>
    </row>
    <row r="523" spans="16:16" x14ac:dyDescent="0.25">
      <c r="P523" s="24">
        <f t="shared" si="9"/>
        <v>0</v>
      </c>
    </row>
    <row r="524" spans="16:16" x14ac:dyDescent="0.25">
      <c r="P524" s="24">
        <f t="shared" si="9"/>
        <v>0</v>
      </c>
    </row>
    <row r="525" spans="16:16" x14ac:dyDescent="0.25">
      <c r="P525" s="24">
        <f t="shared" si="9"/>
        <v>0</v>
      </c>
    </row>
    <row r="526" spans="16:16" x14ac:dyDescent="0.25">
      <c r="P526" s="24">
        <f t="shared" si="9"/>
        <v>0</v>
      </c>
    </row>
    <row r="527" spans="16:16" x14ac:dyDescent="0.25">
      <c r="P527" s="24">
        <f t="shared" si="9"/>
        <v>0</v>
      </c>
    </row>
    <row r="528" spans="16:16" x14ac:dyDescent="0.25">
      <c r="P528" s="24">
        <f t="shared" si="9"/>
        <v>0</v>
      </c>
    </row>
    <row r="529" spans="16:16" x14ac:dyDescent="0.25">
      <c r="P529" s="24">
        <f t="shared" si="9"/>
        <v>0</v>
      </c>
    </row>
    <row r="530" spans="16:16" x14ac:dyDescent="0.25">
      <c r="P530" s="24">
        <f t="shared" si="9"/>
        <v>0</v>
      </c>
    </row>
    <row r="531" spans="16:16" x14ac:dyDescent="0.25">
      <c r="P531" s="24">
        <f t="shared" si="9"/>
        <v>0</v>
      </c>
    </row>
    <row r="532" spans="16:16" x14ac:dyDescent="0.25">
      <c r="P532" s="24">
        <f t="shared" si="9"/>
        <v>0</v>
      </c>
    </row>
    <row r="533" spans="16:16" x14ac:dyDescent="0.25">
      <c r="P533" s="24">
        <f t="shared" si="9"/>
        <v>0</v>
      </c>
    </row>
    <row r="534" spans="16:16" x14ac:dyDescent="0.25">
      <c r="P534" s="24">
        <f t="shared" si="9"/>
        <v>0</v>
      </c>
    </row>
    <row r="535" spans="16:16" x14ac:dyDescent="0.25">
      <c r="P535" s="24">
        <f t="shared" si="9"/>
        <v>0</v>
      </c>
    </row>
    <row r="536" spans="16:16" x14ac:dyDescent="0.25">
      <c r="P536" s="24">
        <f t="shared" si="9"/>
        <v>0</v>
      </c>
    </row>
    <row r="537" spans="16:16" x14ac:dyDescent="0.25">
      <c r="P537" s="24">
        <f t="shared" si="9"/>
        <v>0</v>
      </c>
    </row>
    <row r="538" spans="16:16" x14ac:dyDescent="0.25">
      <c r="P538" s="24">
        <f t="shared" si="9"/>
        <v>0</v>
      </c>
    </row>
    <row r="539" spans="16:16" x14ac:dyDescent="0.25">
      <c r="P539" s="24">
        <f t="shared" si="9"/>
        <v>0</v>
      </c>
    </row>
    <row r="540" spans="16:16" x14ac:dyDescent="0.25">
      <c r="P540" s="24">
        <f t="shared" si="9"/>
        <v>0</v>
      </c>
    </row>
    <row r="541" spans="16:16" x14ac:dyDescent="0.25">
      <c r="P541" s="24">
        <f t="shared" si="9"/>
        <v>0</v>
      </c>
    </row>
    <row r="542" spans="16:16" x14ac:dyDescent="0.25">
      <c r="P542" s="24">
        <f t="shared" si="9"/>
        <v>0</v>
      </c>
    </row>
    <row r="543" spans="16:16" x14ac:dyDescent="0.25">
      <c r="P543" s="24">
        <f t="shared" si="9"/>
        <v>0</v>
      </c>
    </row>
    <row r="544" spans="16:16" x14ac:dyDescent="0.25">
      <c r="P544" s="24">
        <f t="shared" si="9"/>
        <v>0</v>
      </c>
    </row>
    <row r="545" spans="16:16" x14ac:dyDescent="0.25">
      <c r="P545" s="24">
        <f t="shared" si="9"/>
        <v>0</v>
      </c>
    </row>
    <row r="546" spans="16:16" x14ac:dyDescent="0.25">
      <c r="P546" s="24">
        <f t="shared" si="9"/>
        <v>0</v>
      </c>
    </row>
    <row r="547" spans="16:16" x14ac:dyDescent="0.25">
      <c r="P547" s="24">
        <f t="shared" si="9"/>
        <v>0</v>
      </c>
    </row>
    <row r="548" spans="16:16" x14ac:dyDescent="0.25">
      <c r="P548" s="24">
        <f t="shared" si="9"/>
        <v>0</v>
      </c>
    </row>
    <row r="549" spans="16:16" x14ac:dyDescent="0.25">
      <c r="P549" s="24">
        <f t="shared" si="9"/>
        <v>0</v>
      </c>
    </row>
    <row r="550" spans="16:16" x14ac:dyDescent="0.25">
      <c r="P550" s="24">
        <f t="shared" si="9"/>
        <v>0</v>
      </c>
    </row>
    <row r="551" spans="16:16" x14ac:dyDescent="0.25">
      <c r="P551" s="24">
        <f t="shared" si="9"/>
        <v>0</v>
      </c>
    </row>
    <row r="552" spans="16:16" x14ac:dyDescent="0.25">
      <c r="P552" s="24">
        <f t="shared" si="9"/>
        <v>0</v>
      </c>
    </row>
    <row r="553" spans="16:16" x14ac:dyDescent="0.25">
      <c r="P553" s="24">
        <f t="shared" si="9"/>
        <v>0</v>
      </c>
    </row>
    <row r="554" spans="16:16" x14ac:dyDescent="0.25">
      <c r="P554" s="24">
        <f t="shared" ref="P554:P617" si="10">H554-G554</f>
        <v>0</v>
      </c>
    </row>
    <row r="555" spans="16:16" x14ac:dyDescent="0.25">
      <c r="P555" s="24">
        <f t="shared" si="10"/>
        <v>0</v>
      </c>
    </row>
    <row r="556" spans="16:16" x14ac:dyDescent="0.25">
      <c r="P556" s="24">
        <f t="shared" si="10"/>
        <v>0</v>
      </c>
    </row>
    <row r="557" spans="16:16" x14ac:dyDescent="0.25">
      <c r="P557" s="24">
        <f t="shared" si="10"/>
        <v>0</v>
      </c>
    </row>
    <row r="558" spans="16:16" x14ac:dyDescent="0.25">
      <c r="P558" s="24">
        <f t="shared" si="10"/>
        <v>0</v>
      </c>
    </row>
    <row r="559" spans="16:16" x14ac:dyDescent="0.25">
      <c r="P559" s="24">
        <f t="shared" si="10"/>
        <v>0</v>
      </c>
    </row>
    <row r="560" spans="16:16" x14ac:dyDescent="0.25">
      <c r="P560" s="24">
        <f t="shared" si="10"/>
        <v>0</v>
      </c>
    </row>
    <row r="561" spans="16:16" x14ac:dyDescent="0.25">
      <c r="P561" s="24">
        <f t="shared" si="10"/>
        <v>0</v>
      </c>
    </row>
    <row r="562" spans="16:16" x14ac:dyDescent="0.25">
      <c r="P562" s="24">
        <f t="shared" si="10"/>
        <v>0</v>
      </c>
    </row>
    <row r="563" spans="16:16" x14ac:dyDescent="0.25">
      <c r="P563" s="24">
        <f t="shared" si="10"/>
        <v>0</v>
      </c>
    </row>
    <row r="564" spans="16:16" x14ac:dyDescent="0.25">
      <c r="P564" s="24">
        <f t="shared" si="10"/>
        <v>0</v>
      </c>
    </row>
    <row r="565" spans="16:16" x14ac:dyDescent="0.25">
      <c r="P565" s="24">
        <f t="shared" si="10"/>
        <v>0</v>
      </c>
    </row>
    <row r="566" spans="16:16" x14ac:dyDescent="0.25">
      <c r="P566" s="24">
        <f t="shared" si="10"/>
        <v>0</v>
      </c>
    </row>
    <row r="567" spans="16:16" x14ac:dyDescent="0.25">
      <c r="P567" s="24">
        <f t="shared" si="10"/>
        <v>0</v>
      </c>
    </row>
    <row r="568" spans="16:16" x14ac:dyDescent="0.25">
      <c r="P568" s="24">
        <f t="shared" si="10"/>
        <v>0</v>
      </c>
    </row>
    <row r="569" spans="16:16" x14ac:dyDescent="0.25">
      <c r="P569" s="24">
        <f t="shared" si="10"/>
        <v>0</v>
      </c>
    </row>
    <row r="570" spans="16:16" x14ac:dyDescent="0.25">
      <c r="P570" s="24">
        <f t="shared" si="10"/>
        <v>0</v>
      </c>
    </row>
    <row r="571" spans="16:16" x14ac:dyDescent="0.25">
      <c r="P571" s="24">
        <f t="shared" si="10"/>
        <v>0</v>
      </c>
    </row>
    <row r="572" spans="16:16" x14ac:dyDescent="0.25">
      <c r="P572" s="24">
        <f t="shared" si="10"/>
        <v>0</v>
      </c>
    </row>
    <row r="573" spans="16:16" x14ac:dyDescent="0.25">
      <c r="P573" s="24">
        <f t="shared" si="10"/>
        <v>0</v>
      </c>
    </row>
    <row r="574" spans="16:16" x14ac:dyDescent="0.25">
      <c r="P574" s="24">
        <f t="shared" si="10"/>
        <v>0</v>
      </c>
    </row>
    <row r="575" spans="16:16" x14ac:dyDescent="0.25">
      <c r="P575" s="24">
        <f t="shared" si="10"/>
        <v>0</v>
      </c>
    </row>
    <row r="576" spans="16:16" x14ac:dyDescent="0.25">
      <c r="P576" s="24">
        <f t="shared" si="10"/>
        <v>0</v>
      </c>
    </row>
    <row r="577" spans="16:16" x14ac:dyDescent="0.25">
      <c r="P577" s="24">
        <f t="shared" si="10"/>
        <v>0</v>
      </c>
    </row>
    <row r="578" spans="16:16" x14ac:dyDescent="0.25">
      <c r="P578" s="24">
        <f t="shared" si="10"/>
        <v>0</v>
      </c>
    </row>
    <row r="579" spans="16:16" x14ac:dyDescent="0.25">
      <c r="P579" s="24">
        <f t="shared" si="10"/>
        <v>0</v>
      </c>
    </row>
    <row r="580" spans="16:16" x14ac:dyDescent="0.25">
      <c r="P580" s="24">
        <f t="shared" si="10"/>
        <v>0</v>
      </c>
    </row>
    <row r="581" spans="16:16" x14ac:dyDescent="0.25">
      <c r="P581" s="24">
        <f t="shared" si="10"/>
        <v>0</v>
      </c>
    </row>
    <row r="582" spans="16:16" x14ac:dyDescent="0.25">
      <c r="P582" s="24">
        <f t="shared" si="10"/>
        <v>0</v>
      </c>
    </row>
    <row r="583" spans="16:16" x14ac:dyDescent="0.25">
      <c r="P583" s="24">
        <f t="shared" si="10"/>
        <v>0</v>
      </c>
    </row>
    <row r="584" spans="16:16" x14ac:dyDescent="0.25">
      <c r="P584" s="24">
        <f t="shared" si="10"/>
        <v>0</v>
      </c>
    </row>
    <row r="585" spans="16:16" x14ac:dyDescent="0.25">
      <c r="P585" s="24">
        <f t="shared" si="10"/>
        <v>0</v>
      </c>
    </row>
    <row r="586" spans="16:16" x14ac:dyDescent="0.25">
      <c r="P586" s="24">
        <f t="shared" si="10"/>
        <v>0</v>
      </c>
    </row>
    <row r="587" spans="16:16" x14ac:dyDescent="0.25">
      <c r="P587" s="24">
        <f t="shared" si="10"/>
        <v>0</v>
      </c>
    </row>
    <row r="588" spans="16:16" x14ac:dyDescent="0.25">
      <c r="P588" s="24">
        <f t="shared" si="10"/>
        <v>0</v>
      </c>
    </row>
    <row r="589" spans="16:16" x14ac:dyDescent="0.25">
      <c r="P589" s="24">
        <f t="shared" si="10"/>
        <v>0</v>
      </c>
    </row>
    <row r="590" spans="16:16" x14ac:dyDescent="0.25">
      <c r="P590" s="24">
        <f t="shared" si="10"/>
        <v>0</v>
      </c>
    </row>
    <row r="591" spans="16:16" x14ac:dyDescent="0.25">
      <c r="P591" s="24">
        <f t="shared" si="10"/>
        <v>0</v>
      </c>
    </row>
    <row r="592" spans="16:16" x14ac:dyDescent="0.25">
      <c r="P592" s="24">
        <f t="shared" si="10"/>
        <v>0</v>
      </c>
    </row>
    <row r="593" spans="1:16" x14ac:dyDescent="0.25">
      <c r="P593" s="24">
        <f t="shared" si="10"/>
        <v>0</v>
      </c>
    </row>
    <row r="594" spans="1:16" x14ac:dyDescent="0.25">
      <c r="P594" s="24">
        <f t="shared" si="10"/>
        <v>0</v>
      </c>
    </row>
    <row r="595" spans="1:16" x14ac:dyDescent="0.25">
      <c r="P595" s="24">
        <f t="shared" si="10"/>
        <v>0</v>
      </c>
    </row>
    <row r="596" spans="1:16" x14ac:dyDescent="0.25">
      <c r="P596" s="24">
        <f t="shared" si="10"/>
        <v>0</v>
      </c>
    </row>
    <row r="597" spans="1:16" x14ac:dyDescent="0.25">
      <c r="P597" s="24">
        <f t="shared" si="10"/>
        <v>0</v>
      </c>
    </row>
    <row r="598" spans="1:16" x14ac:dyDescent="0.25">
      <c r="P598" s="24">
        <f t="shared" si="10"/>
        <v>0</v>
      </c>
    </row>
    <row r="599" spans="1:16" x14ac:dyDescent="0.25">
      <c r="P599" s="24">
        <f t="shared" si="10"/>
        <v>0</v>
      </c>
    </row>
    <row r="600" spans="1:16" x14ac:dyDescent="0.25">
      <c r="P600" s="24">
        <f t="shared" si="10"/>
        <v>0</v>
      </c>
    </row>
    <row r="601" spans="1:16" x14ac:dyDescent="0.25">
      <c r="A601" t="s">
        <v>754</v>
      </c>
      <c r="B601" t="s">
        <v>753</v>
      </c>
      <c r="D601" t="s">
        <v>655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 s="24">
        <f t="shared" si="10"/>
        <v>0</v>
      </c>
    </row>
    <row r="602" spans="1:16" x14ac:dyDescent="0.25">
      <c r="A602" t="s">
        <v>758</v>
      </c>
      <c r="B602" t="s">
        <v>757</v>
      </c>
      <c r="D602" t="s">
        <v>655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 s="24">
        <f t="shared" si="10"/>
        <v>0</v>
      </c>
    </row>
    <row r="603" spans="1:16" x14ac:dyDescent="0.25">
      <c r="A603" t="s">
        <v>691</v>
      </c>
      <c r="B603" t="s">
        <v>690</v>
      </c>
      <c r="D603" t="s">
        <v>655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 s="24">
        <f t="shared" si="10"/>
        <v>0</v>
      </c>
    </row>
    <row r="604" spans="1:16" x14ac:dyDescent="0.25">
      <c r="A604" t="s">
        <v>693</v>
      </c>
      <c r="B604" t="s">
        <v>692</v>
      </c>
      <c r="D604" t="s">
        <v>655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 s="24">
        <f t="shared" si="10"/>
        <v>0</v>
      </c>
    </row>
    <row r="605" spans="1:16" x14ac:dyDescent="0.25">
      <c r="A605" t="s">
        <v>695</v>
      </c>
      <c r="B605" t="s">
        <v>694</v>
      </c>
      <c r="D605" t="s">
        <v>655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 s="24">
        <f t="shared" si="10"/>
        <v>0</v>
      </c>
    </row>
    <row r="606" spans="1:16" x14ac:dyDescent="0.25">
      <c r="A606" t="s">
        <v>925</v>
      </c>
      <c r="B606" t="s">
        <v>924</v>
      </c>
      <c r="D606" t="s">
        <v>655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 s="24">
        <f t="shared" si="10"/>
        <v>0</v>
      </c>
    </row>
    <row r="607" spans="1:16" x14ac:dyDescent="0.25">
      <c r="A607" t="s">
        <v>927</v>
      </c>
      <c r="B607" t="s">
        <v>926</v>
      </c>
      <c r="D607" t="s">
        <v>655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 s="24">
        <f t="shared" si="10"/>
        <v>0</v>
      </c>
    </row>
    <row r="608" spans="1:16" x14ac:dyDescent="0.25">
      <c r="A608" t="s">
        <v>929</v>
      </c>
      <c r="B608" t="s">
        <v>928</v>
      </c>
      <c r="D608" t="s">
        <v>655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 s="24">
        <f t="shared" si="10"/>
        <v>0</v>
      </c>
    </row>
    <row r="609" spans="1:16" x14ac:dyDescent="0.25">
      <c r="A609" t="s">
        <v>793</v>
      </c>
      <c r="B609" t="s">
        <v>792</v>
      </c>
      <c r="D609" t="s">
        <v>655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 s="24">
        <f t="shared" si="10"/>
        <v>0</v>
      </c>
    </row>
    <row r="610" spans="1:16" x14ac:dyDescent="0.25">
      <c r="A610" t="s">
        <v>795</v>
      </c>
      <c r="B610" t="s">
        <v>794</v>
      </c>
      <c r="D610" t="s">
        <v>655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 s="24">
        <f t="shared" si="10"/>
        <v>0</v>
      </c>
    </row>
    <row r="611" spans="1:16" x14ac:dyDescent="0.25">
      <c r="A611" t="s">
        <v>797</v>
      </c>
      <c r="B611" t="s">
        <v>796</v>
      </c>
      <c r="D611" t="s">
        <v>655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 s="24">
        <f t="shared" si="10"/>
        <v>0</v>
      </c>
    </row>
    <row r="612" spans="1:16" x14ac:dyDescent="0.25">
      <c r="A612" t="s">
        <v>991</v>
      </c>
      <c r="B612" t="s">
        <v>990</v>
      </c>
      <c r="D612" t="s">
        <v>655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 s="24">
        <f t="shared" si="10"/>
        <v>0</v>
      </c>
    </row>
    <row r="613" spans="1:16" x14ac:dyDescent="0.25">
      <c r="A613" t="s">
        <v>993</v>
      </c>
      <c r="B613" t="s">
        <v>992</v>
      </c>
      <c r="D613" t="s">
        <v>655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 s="24">
        <f t="shared" si="10"/>
        <v>0</v>
      </c>
    </row>
    <row r="614" spans="1:16" x14ac:dyDescent="0.25">
      <c r="A614" t="s">
        <v>995</v>
      </c>
      <c r="B614" t="s">
        <v>994</v>
      </c>
      <c r="D614" t="s">
        <v>655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 s="24">
        <f t="shared" si="10"/>
        <v>0</v>
      </c>
    </row>
    <row r="615" spans="1:16" x14ac:dyDescent="0.25">
      <c r="A615" t="s">
        <v>1003</v>
      </c>
      <c r="B615" t="s">
        <v>1002</v>
      </c>
      <c r="D615" t="s">
        <v>655</v>
      </c>
      <c r="E615">
        <v>0</v>
      </c>
      <c r="F615">
        <v>0</v>
      </c>
      <c r="G615">
        <v>0</v>
      </c>
      <c r="H615">
        <v>-1</v>
      </c>
      <c r="I615">
        <v>-1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 s="24">
        <f t="shared" si="10"/>
        <v>-1</v>
      </c>
    </row>
    <row r="616" spans="1:16" x14ac:dyDescent="0.25">
      <c r="A616" t="s">
        <v>1007</v>
      </c>
      <c r="B616" t="s">
        <v>1006</v>
      </c>
      <c r="D616" t="s">
        <v>655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 s="24">
        <f t="shared" si="10"/>
        <v>0</v>
      </c>
    </row>
    <row r="617" spans="1:16" x14ac:dyDescent="0.25">
      <c r="A617" t="s">
        <v>1011</v>
      </c>
      <c r="B617" t="s">
        <v>1010</v>
      </c>
      <c r="D617" t="s">
        <v>655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 s="24">
        <f t="shared" si="10"/>
        <v>0</v>
      </c>
    </row>
    <row r="618" spans="1:16" x14ac:dyDescent="0.25">
      <c r="A618" t="s">
        <v>760</v>
      </c>
      <c r="B618" t="s">
        <v>759</v>
      </c>
      <c r="D618" t="s">
        <v>655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 s="24">
        <f t="shared" ref="P618:P681" si="11">H618-G618</f>
        <v>0</v>
      </c>
    </row>
    <row r="619" spans="1:16" x14ac:dyDescent="0.25">
      <c r="A619" t="s">
        <v>764</v>
      </c>
      <c r="B619" t="s">
        <v>763</v>
      </c>
      <c r="D619" t="s">
        <v>655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 s="24">
        <f t="shared" si="11"/>
        <v>0</v>
      </c>
    </row>
    <row r="620" spans="1:16" x14ac:dyDescent="0.25">
      <c r="A620" t="s">
        <v>859</v>
      </c>
      <c r="B620" t="s">
        <v>858</v>
      </c>
      <c r="D620" t="s">
        <v>655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 s="24">
        <f t="shared" si="11"/>
        <v>0</v>
      </c>
    </row>
    <row r="621" spans="1:16" x14ac:dyDescent="0.25">
      <c r="A621" t="s">
        <v>861</v>
      </c>
      <c r="B621" t="s">
        <v>860</v>
      </c>
      <c r="D621" t="s">
        <v>655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 s="24">
        <f t="shared" si="11"/>
        <v>0</v>
      </c>
    </row>
    <row r="622" spans="1:16" x14ac:dyDescent="0.25">
      <c r="A622" t="s">
        <v>863</v>
      </c>
      <c r="B622" t="s">
        <v>862</v>
      </c>
      <c r="D622" t="s">
        <v>655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 s="24">
        <f t="shared" si="11"/>
        <v>0</v>
      </c>
    </row>
    <row r="623" spans="1:16" x14ac:dyDescent="0.25">
      <c r="A623" t="s">
        <v>964</v>
      </c>
      <c r="B623" t="s">
        <v>963</v>
      </c>
      <c r="D623" t="s">
        <v>655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 s="24">
        <f t="shared" si="11"/>
        <v>0</v>
      </c>
    </row>
    <row r="624" spans="1:16" x14ac:dyDescent="0.25">
      <c r="A624" t="s">
        <v>966</v>
      </c>
      <c r="B624" t="s">
        <v>965</v>
      </c>
      <c r="D624" t="s">
        <v>655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 s="24">
        <f t="shared" si="11"/>
        <v>0</v>
      </c>
    </row>
    <row r="625" spans="1:16" x14ac:dyDescent="0.25">
      <c r="A625" t="s">
        <v>968</v>
      </c>
      <c r="B625" t="s">
        <v>967</v>
      </c>
      <c r="D625" t="s">
        <v>655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 s="24">
        <f t="shared" si="11"/>
        <v>0</v>
      </c>
    </row>
    <row r="626" spans="1:16" x14ac:dyDescent="0.25">
      <c r="A626" t="s">
        <v>697</v>
      </c>
      <c r="B626" t="s">
        <v>696</v>
      </c>
      <c r="D626" t="s">
        <v>655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 s="24">
        <f t="shared" si="11"/>
        <v>0</v>
      </c>
    </row>
    <row r="627" spans="1:16" x14ac:dyDescent="0.25">
      <c r="A627" t="s">
        <v>699</v>
      </c>
      <c r="B627" t="s">
        <v>698</v>
      </c>
      <c r="D627" t="s">
        <v>655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 s="24">
        <f t="shared" si="11"/>
        <v>0</v>
      </c>
    </row>
    <row r="628" spans="1:16" x14ac:dyDescent="0.25">
      <c r="A628" t="s">
        <v>701</v>
      </c>
      <c r="B628" t="s">
        <v>700</v>
      </c>
      <c r="D628" t="s">
        <v>655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 s="24">
        <f t="shared" si="11"/>
        <v>0</v>
      </c>
    </row>
    <row r="629" spans="1:16" x14ac:dyDescent="0.25">
      <c r="A629" t="s">
        <v>865</v>
      </c>
      <c r="B629" t="s">
        <v>864</v>
      </c>
      <c r="D629" t="s">
        <v>655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 s="24">
        <f t="shared" si="11"/>
        <v>0</v>
      </c>
    </row>
    <row r="630" spans="1:16" x14ac:dyDescent="0.25">
      <c r="A630" t="s">
        <v>867</v>
      </c>
      <c r="B630" t="s">
        <v>866</v>
      </c>
      <c r="D630" t="s">
        <v>655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 s="24">
        <f t="shared" si="11"/>
        <v>0</v>
      </c>
    </row>
    <row r="631" spans="1:16" x14ac:dyDescent="0.25">
      <c r="A631" t="s">
        <v>869</v>
      </c>
      <c r="B631" t="s">
        <v>868</v>
      </c>
      <c r="D631" t="s">
        <v>655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 s="24">
        <f t="shared" si="11"/>
        <v>0</v>
      </c>
    </row>
    <row r="632" spans="1:16" x14ac:dyDescent="0.25">
      <c r="A632" t="s">
        <v>841</v>
      </c>
      <c r="B632" t="s">
        <v>840</v>
      </c>
      <c r="D632" t="s">
        <v>655</v>
      </c>
      <c r="E632">
        <v>0</v>
      </c>
      <c r="F632">
        <v>0</v>
      </c>
      <c r="G632">
        <v>0</v>
      </c>
      <c r="H632">
        <v>-2</v>
      </c>
      <c r="I632">
        <v>-2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 s="24">
        <f t="shared" si="11"/>
        <v>-2</v>
      </c>
    </row>
    <row r="633" spans="1:16" x14ac:dyDescent="0.25">
      <c r="A633" t="s">
        <v>844</v>
      </c>
      <c r="B633" t="s">
        <v>843</v>
      </c>
      <c r="D633" t="s">
        <v>655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 s="24">
        <f t="shared" si="11"/>
        <v>0</v>
      </c>
    </row>
    <row r="634" spans="1:16" x14ac:dyDescent="0.25">
      <c r="A634" t="s">
        <v>847</v>
      </c>
      <c r="B634" t="s">
        <v>846</v>
      </c>
      <c r="D634" t="s">
        <v>655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 s="24">
        <f t="shared" si="11"/>
        <v>0</v>
      </c>
    </row>
    <row r="635" spans="1:16" x14ac:dyDescent="0.25">
      <c r="A635" t="s">
        <v>799</v>
      </c>
      <c r="B635" t="s">
        <v>798</v>
      </c>
      <c r="D635" t="s">
        <v>655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 s="24">
        <f t="shared" si="11"/>
        <v>0</v>
      </c>
    </row>
    <row r="636" spans="1:16" x14ac:dyDescent="0.25">
      <c r="A636" t="s">
        <v>801</v>
      </c>
      <c r="B636" t="s">
        <v>800</v>
      </c>
      <c r="D636" t="s">
        <v>655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 s="24">
        <f t="shared" si="11"/>
        <v>0</v>
      </c>
    </row>
    <row r="637" spans="1:16" x14ac:dyDescent="0.25">
      <c r="A637" t="s">
        <v>803</v>
      </c>
      <c r="B637" t="s">
        <v>802</v>
      </c>
      <c r="D637" t="s">
        <v>655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 s="24">
        <f t="shared" si="11"/>
        <v>0</v>
      </c>
    </row>
    <row r="638" spans="1:16" x14ac:dyDescent="0.25">
      <c r="A638" t="s">
        <v>970</v>
      </c>
      <c r="B638" t="s">
        <v>969</v>
      </c>
      <c r="D638" t="s">
        <v>655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 s="24">
        <f t="shared" si="11"/>
        <v>0</v>
      </c>
    </row>
    <row r="639" spans="1:16" x14ac:dyDescent="0.25">
      <c r="A639" t="s">
        <v>972</v>
      </c>
      <c r="B639" t="s">
        <v>971</v>
      </c>
      <c r="D639" t="s">
        <v>655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 s="24">
        <f t="shared" si="11"/>
        <v>0</v>
      </c>
    </row>
    <row r="640" spans="1:16" x14ac:dyDescent="0.25">
      <c r="A640" t="s">
        <v>974</v>
      </c>
      <c r="B640" t="s">
        <v>973</v>
      </c>
      <c r="D640" t="s">
        <v>655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 s="24">
        <f t="shared" si="11"/>
        <v>0</v>
      </c>
    </row>
    <row r="641" spans="1:16" x14ac:dyDescent="0.25">
      <c r="A641" t="s">
        <v>997</v>
      </c>
      <c r="B641" t="s">
        <v>996</v>
      </c>
      <c r="D641" t="s">
        <v>655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 s="24">
        <f t="shared" si="11"/>
        <v>0</v>
      </c>
    </row>
    <row r="642" spans="1:16" x14ac:dyDescent="0.25">
      <c r="A642" t="s">
        <v>999</v>
      </c>
      <c r="B642" t="s">
        <v>998</v>
      </c>
      <c r="D642" t="s">
        <v>655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 s="24">
        <f t="shared" si="11"/>
        <v>0</v>
      </c>
    </row>
    <row r="643" spans="1:16" x14ac:dyDescent="0.25">
      <c r="A643" t="s">
        <v>1001</v>
      </c>
      <c r="B643" t="s">
        <v>1000</v>
      </c>
      <c r="D643" t="s">
        <v>655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 s="24">
        <f t="shared" si="11"/>
        <v>0</v>
      </c>
    </row>
    <row r="644" spans="1:16" x14ac:dyDescent="0.25">
      <c r="A644" t="s">
        <v>1081</v>
      </c>
      <c r="B644" t="s">
        <v>1044</v>
      </c>
      <c r="D644" t="s">
        <v>655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 s="24">
        <f t="shared" si="11"/>
        <v>0</v>
      </c>
    </row>
    <row r="645" spans="1:16" x14ac:dyDescent="0.25">
      <c r="A645" t="s">
        <v>1082</v>
      </c>
      <c r="B645" t="s">
        <v>1048</v>
      </c>
      <c r="D645" t="s">
        <v>655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 s="24">
        <f t="shared" si="11"/>
        <v>0</v>
      </c>
    </row>
    <row r="646" spans="1:16" x14ac:dyDescent="0.25">
      <c r="A646" t="s">
        <v>1083</v>
      </c>
      <c r="B646" t="s">
        <v>1052</v>
      </c>
      <c r="D646" t="s">
        <v>655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 s="24">
        <f t="shared" si="11"/>
        <v>0</v>
      </c>
    </row>
    <row r="647" spans="1:16" x14ac:dyDescent="0.25">
      <c r="A647" t="s">
        <v>712</v>
      </c>
      <c r="B647" t="s">
        <v>711</v>
      </c>
      <c r="D647" t="s">
        <v>655</v>
      </c>
      <c r="E647">
        <v>0</v>
      </c>
      <c r="F647">
        <v>0</v>
      </c>
      <c r="G647">
        <v>0</v>
      </c>
      <c r="H647">
        <v>-1</v>
      </c>
      <c r="I647">
        <v>-1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 s="24">
        <f t="shared" si="11"/>
        <v>-1</v>
      </c>
    </row>
    <row r="648" spans="1:16" x14ac:dyDescent="0.25">
      <c r="A648" t="s">
        <v>716</v>
      </c>
      <c r="B648" t="s">
        <v>715</v>
      </c>
      <c r="D648" t="s">
        <v>655</v>
      </c>
      <c r="E648">
        <v>0</v>
      </c>
      <c r="F648">
        <v>0</v>
      </c>
      <c r="G648">
        <v>0</v>
      </c>
      <c r="H648">
        <v>-1</v>
      </c>
      <c r="I648">
        <v>-1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 s="24">
        <f t="shared" si="11"/>
        <v>-1</v>
      </c>
    </row>
    <row r="649" spans="1:16" x14ac:dyDescent="0.25">
      <c r="A649" t="s">
        <v>720</v>
      </c>
      <c r="B649" t="s">
        <v>719</v>
      </c>
      <c r="D649" t="s">
        <v>655</v>
      </c>
      <c r="E649">
        <v>0</v>
      </c>
      <c r="F649">
        <v>0</v>
      </c>
      <c r="G649">
        <v>0</v>
      </c>
      <c r="H649">
        <v>-1</v>
      </c>
      <c r="I649">
        <v>-1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 s="24">
        <f t="shared" si="11"/>
        <v>-1</v>
      </c>
    </row>
    <row r="650" spans="1:16" x14ac:dyDescent="0.25">
      <c r="A650" t="s">
        <v>703</v>
      </c>
      <c r="B650" t="s">
        <v>702</v>
      </c>
      <c r="D650" t="s">
        <v>655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 s="24">
        <f t="shared" si="11"/>
        <v>0</v>
      </c>
    </row>
    <row r="651" spans="1:16" x14ac:dyDescent="0.25">
      <c r="A651" t="s">
        <v>706</v>
      </c>
      <c r="B651" t="s">
        <v>705</v>
      </c>
      <c r="D651" t="s">
        <v>655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 s="24">
        <f t="shared" si="11"/>
        <v>0</v>
      </c>
    </row>
    <row r="652" spans="1:16" x14ac:dyDescent="0.25">
      <c r="A652" t="s">
        <v>709</v>
      </c>
      <c r="B652" t="s">
        <v>708</v>
      </c>
      <c r="D652" t="s">
        <v>655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 s="24">
        <f t="shared" si="11"/>
        <v>0</v>
      </c>
    </row>
    <row r="653" spans="1:16" x14ac:dyDescent="0.25">
      <c r="A653" t="s">
        <v>733</v>
      </c>
      <c r="B653" t="s">
        <v>732</v>
      </c>
      <c r="D653" t="s">
        <v>655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 s="24">
        <f t="shared" si="11"/>
        <v>0</v>
      </c>
    </row>
    <row r="654" spans="1:16" x14ac:dyDescent="0.25">
      <c r="A654" t="s">
        <v>735</v>
      </c>
      <c r="B654" t="s">
        <v>734</v>
      </c>
      <c r="D654" t="s">
        <v>655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 s="24">
        <f t="shared" si="11"/>
        <v>0</v>
      </c>
    </row>
    <row r="655" spans="1:16" x14ac:dyDescent="0.25">
      <c r="A655" t="s">
        <v>737</v>
      </c>
      <c r="B655" t="s">
        <v>736</v>
      </c>
      <c r="D655" t="s">
        <v>655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 s="24">
        <f t="shared" si="11"/>
        <v>0</v>
      </c>
    </row>
    <row r="656" spans="1:16" x14ac:dyDescent="0.25">
      <c r="A656" t="s">
        <v>739</v>
      </c>
      <c r="B656" t="s">
        <v>738</v>
      </c>
      <c r="D656" t="s">
        <v>655</v>
      </c>
      <c r="E656">
        <v>0</v>
      </c>
      <c r="F656">
        <v>0</v>
      </c>
      <c r="G656">
        <v>0</v>
      </c>
      <c r="H656">
        <v>-1</v>
      </c>
      <c r="I656">
        <v>-1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 s="24">
        <f t="shared" si="11"/>
        <v>-1</v>
      </c>
    </row>
    <row r="657" spans="1:16" x14ac:dyDescent="0.25">
      <c r="A657" t="s">
        <v>741</v>
      </c>
      <c r="B657" t="s">
        <v>740</v>
      </c>
      <c r="D657" t="s">
        <v>655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 s="24">
        <f t="shared" si="11"/>
        <v>0</v>
      </c>
    </row>
    <row r="658" spans="1:16" x14ac:dyDescent="0.25">
      <c r="A658" t="s">
        <v>743</v>
      </c>
      <c r="B658" t="s">
        <v>742</v>
      </c>
      <c r="D658" t="s">
        <v>655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 s="24">
        <f t="shared" si="11"/>
        <v>0</v>
      </c>
    </row>
    <row r="659" spans="1:16" x14ac:dyDescent="0.25">
      <c r="A659" t="s">
        <v>931</v>
      </c>
      <c r="B659" t="s">
        <v>930</v>
      </c>
      <c r="D659" t="s">
        <v>655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 s="24">
        <f t="shared" si="11"/>
        <v>0</v>
      </c>
    </row>
    <row r="660" spans="1:16" x14ac:dyDescent="0.25">
      <c r="A660" t="s">
        <v>933</v>
      </c>
      <c r="B660" t="s">
        <v>932</v>
      </c>
      <c r="D660" t="s">
        <v>655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 s="24">
        <f t="shared" si="11"/>
        <v>0</v>
      </c>
    </row>
    <row r="661" spans="1:16" x14ac:dyDescent="0.25">
      <c r="A661" t="s">
        <v>935</v>
      </c>
      <c r="B661" t="s">
        <v>934</v>
      </c>
      <c r="D661" t="s">
        <v>655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 s="24">
        <f t="shared" si="11"/>
        <v>0</v>
      </c>
    </row>
    <row r="662" spans="1:16" x14ac:dyDescent="0.25">
      <c r="A662" t="s">
        <v>904</v>
      </c>
      <c r="B662" t="s">
        <v>903</v>
      </c>
      <c r="D662" t="s">
        <v>655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 s="24">
        <f t="shared" si="11"/>
        <v>0</v>
      </c>
    </row>
    <row r="663" spans="1:16" x14ac:dyDescent="0.25">
      <c r="A663" t="s">
        <v>906</v>
      </c>
      <c r="B663" t="s">
        <v>905</v>
      </c>
      <c r="D663" t="s">
        <v>655</v>
      </c>
      <c r="E663">
        <v>0</v>
      </c>
      <c r="F663">
        <v>0</v>
      </c>
      <c r="G663">
        <v>0</v>
      </c>
      <c r="H663">
        <v>-1</v>
      </c>
      <c r="I663">
        <v>-1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 s="24">
        <f t="shared" si="11"/>
        <v>-1</v>
      </c>
    </row>
    <row r="664" spans="1:16" x14ac:dyDescent="0.25">
      <c r="A664" t="s">
        <v>908</v>
      </c>
      <c r="B664" t="s">
        <v>907</v>
      </c>
      <c r="D664" t="s">
        <v>655</v>
      </c>
      <c r="E664">
        <v>0</v>
      </c>
      <c r="F664">
        <v>0</v>
      </c>
      <c r="G664">
        <v>0</v>
      </c>
      <c r="H664">
        <v>-1</v>
      </c>
      <c r="I664">
        <v>-1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 s="24">
        <f t="shared" si="11"/>
        <v>-1</v>
      </c>
    </row>
    <row r="665" spans="1:16" x14ac:dyDescent="0.25">
      <c r="A665" t="s">
        <v>937</v>
      </c>
      <c r="B665" t="s">
        <v>936</v>
      </c>
      <c r="D665" t="s">
        <v>655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 s="24">
        <f t="shared" si="11"/>
        <v>0</v>
      </c>
    </row>
    <row r="666" spans="1:16" x14ac:dyDescent="0.25">
      <c r="A666" t="s">
        <v>939</v>
      </c>
      <c r="B666" t="s">
        <v>938</v>
      </c>
      <c r="D666" t="s">
        <v>655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 s="24">
        <f t="shared" si="11"/>
        <v>0</v>
      </c>
    </row>
    <row r="667" spans="1:16" x14ac:dyDescent="0.25">
      <c r="A667" t="s">
        <v>941</v>
      </c>
      <c r="B667" t="s">
        <v>940</v>
      </c>
      <c r="D667" t="s">
        <v>655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 s="24">
        <f t="shared" si="11"/>
        <v>0</v>
      </c>
    </row>
    <row r="668" spans="1:16" x14ac:dyDescent="0.25">
      <c r="A668" t="s">
        <v>883</v>
      </c>
      <c r="B668" t="s">
        <v>882</v>
      </c>
      <c r="D668" t="s">
        <v>655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 s="24">
        <f t="shared" si="11"/>
        <v>0</v>
      </c>
    </row>
    <row r="669" spans="1:16" x14ac:dyDescent="0.25">
      <c r="A669" t="s">
        <v>885</v>
      </c>
      <c r="B669" t="s">
        <v>884</v>
      </c>
      <c r="D669" t="s">
        <v>655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 s="24">
        <f t="shared" si="11"/>
        <v>0</v>
      </c>
    </row>
    <row r="670" spans="1:16" x14ac:dyDescent="0.25">
      <c r="A670" t="s">
        <v>887</v>
      </c>
      <c r="B670" t="s">
        <v>886</v>
      </c>
      <c r="D670" t="s">
        <v>655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 s="24">
        <f t="shared" si="11"/>
        <v>0</v>
      </c>
    </row>
    <row r="671" spans="1:16" x14ac:dyDescent="0.25">
      <c r="A671" t="s">
        <v>832</v>
      </c>
      <c r="B671" t="s">
        <v>831</v>
      </c>
      <c r="D671" t="s">
        <v>655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 s="24">
        <f t="shared" si="11"/>
        <v>0</v>
      </c>
    </row>
    <row r="672" spans="1:16" x14ac:dyDescent="0.25">
      <c r="A672" t="s">
        <v>835</v>
      </c>
      <c r="B672" t="s">
        <v>834</v>
      </c>
      <c r="D672" t="s">
        <v>655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 s="24">
        <f t="shared" si="11"/>
        <v>0</v>
      </c>
    </row>
    <row r="673" spans="1:16" x14ac:dyDescent="0.25">
      <c r="A673" t="s">
        <v>838</v>
      </c>
      <c r="B673" t="s">
        <v>837</v>
      </c>
      <c r="D673" t="s">
        <v>655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 s="24">
        <f t="shared" si="11"/>
        <v>0</v>
      </c>
    </row>
    <row r="674" spans="1:16" x14ac:dyDescent="0.25">
      <c r="A674" t="s">
        <v>910</v>
      </c>
      <c r="B674" t="s">
        <v>909</v>
      </c>
      <c r="D674" t="s">
        <v>655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 s="24">
        <f t="shared" si="11"/>
        <v>0</v>
      </c>
    </row>
    <row r="675" spans="1:16" x14ac:dyDescent="0.25">
      <c r="A675" t="s">
        <v>913</v>
      </c>
      <c r="B675" t="s">
        <v>912</v>
      </c>
      <c r="D675" t="s">
        <v>655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 s="24">
        <f t="shared" si="11"/>
        <v>0</v>
      </c>
    </row>
    <row r="676" spans="1:16" x14ac:dyDescent="0.25">
      <c r="A676" t="s">
        <v>916</v>
      </c>
      <c r="B676" t="s">
        <v>915</v>
      </c>
      <c r="D676" t="s">
        <v>655</v>
      </c>
      <c r="E676">
        <v>0</v>
      </c>
      <c r="F676">
        <v>0</v>
      </c>
      <c r="G676">
        <v>0</v>
      </c>
      <c r="H676">
        <v>-1</v>
      </c>
      <c r="I676">
        <v>-1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 s="24">
        <f t="shared" si="11"/>
        <v>-1</v>
      </c>
    </row>
    <row r="677" spans="1:16" x14ac:dyDescent="0.25">
      <c r="A677" t="s">
        <v>877</v>
      </c>
      <c r="B677" t="s">
        <v>876</v>
      </c>
      <c r="D677" t="s">
        <v>655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 s="24">
        <f t="shared" si="11"/>
        <v>0</v>
      </c>
    </row>
    <row r="678" spans="1:16" x14ac:dyDescent="0.25">
      <c r="A678" t="s">
        <v>879</v>
      </c>
      <c r="B678" t="s">
        <v>878</v>
      </c>
      <c r="D678" t="s">
        <v>655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 s="24">
        <f t="shared" si="11"/>
        <v>0</v>
      </c>
    </row>
    <row r="679" spans="1:16" x14ac:dyDescent="0.25">
      <c r="A679" t="s">
        <v>881</v>
      </c>
      <c r="B679" t="s">
        <v>880</v>
      </c>
      <c r="D679" t="s">
        <v>655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 s="24">
        <f t="shared" si="11"/>
        <v>0</v>
      </c>
    </row>
    <row r="680" spans="1:16" x14ac:dyDescent="0.25">
      <c r="A680" t="s">
        <v>919</v>
      </c>
      <c r="B680" t="s">
        <v>918</v>
      </c>
      <c r="D680" t="s">
        <v>655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 s="24">
        <f t="shared" si="11"/>
        <v>0</v>
      </c>
    </row>
    <row r="681" spans="1:16" x14ac:dyDescent="0.25">
      <c r="A681" t="s">
        <v>921</v>
      </c>
      <c r="B681" t="s">
        <v>920</v>
      </c>
      <c r="D681" t="s">
        <v>655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 s="24">
        <f t="shared" si="11"/>
        <v>0</v>
      </c>
    </row>
    <row r="682" spans="1:16" x14ac:dyDescent="0.25">
      <c r="A682" t="s">
        <v>923</v>
      </c>
      <c r="B682" t="s">
        <v>922</v>
      </c>
      <c r="D682" t="s">
        <v>655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 s="24">
        <f t="shared" ref="P682:P745" si="12">H682-G682</f>
        <v>0</v>
      </c>
    </row>
    <row r="683" spans="1:16" x14ac:dyDescent="0.25">
      <c r="A683" t="s">
        <v>1036</v>
      </c>
      <c r="B683" t="s">
        <v>1035</v>
      </c>
      <c r="D683" t="s">
        <v>655</v>
      </c>
      <c r="E683">
        <v>0</v>
      </c>
      <c r="F683">
        <v>0</v>
      </c>
      <c r="G683">
        <v>0</v>
      </c>
      <c r="H683">
        <v>-1</v>
      </c>
      <c r="I683">
        <v>-1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 s="24">
        <f t="shared" si="12"/>
        <v>-1</v>
      </c>
    </row>
    <row r="684" spans="1:16" x14ac:dyDescent="0.25">
      <c r="A684" t="s">
        <v>1039</v>
      </c>
      <c r="B684" t="s">
        <v>1038</v>
      </c>
      <c r="D684" t="s">
        <v>655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 s="24">
        <f t="shared" si="12"/>
        <v>0</v>
      </c>
    </row>
    <row r="685" spans="1:16" x14ac:dyDescent="0.25">
      <c r="A685" t="s">
        <v>1042</v>
      </c>
      <c r="B685" t="s">
        <v>1041</v>
      </c>
      <c r="D685" t="s">
        <v>655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 s="24">
        <f t="shared" si="12"/>
        <v>0</v>
      </c>
    </row>
    <row r="686" spans="1:16" x14ac:dyDescent="0.25">
      <c r="A686" t="s">
        <v>1084</v>
      </c>
      <c r="B686" t="s">
        <v>1085</v>
      </c>
      <c r="D686" t="s">
        <v>655</v>
      </c>
      <c r="E686">
        <v>0</v>
      </c>
      <c r="F686">
        <v>0</v>
      </c>
      <c r="G686">
        <v>0</v>
      </c>
      <c r="H686">
        <v>10</v>
      </c>
      <c r="I686">
        <v>10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 s="24">
        <f t="shared" si="12"/>
        <v>10</v>
      </c>
    </row>
    <row r="687" spans="1:16" x14ac:dyDescent="0.25">
      <c r="A687" t="s">
        <v>602</v>
      </c>
      <c r="B687" t="s">
        <v>603</v>
      </c>
      <c r="D687" t="s">
        <v>43</v>
      </c>
      <c r="E687">
        <v>9</v>
      </c>
      <c r="F687">
        <v>0</v>
      </c>
      <c r="G687">
        <v>0</v>
      </c>
      <c r="H687">
        <v>4640</v>
      </c>
      <c r="I687">
        <v>4640</v>
      </c>
      <c r="J687">
        <v>0</v>
      </c>
      <c r="K687">
        <v>0</v>
      </c>
      <c r="L687">
        <v>27311</v>
      </c>
      <c r="M687">
        <v>3413.88</v>
      </c>
      <c r="N687">
        <v>1.36</v>
      </c>
      <c r="O687">
        <v>5601.63</v>
      </c>
      <c r="P687" s="24">
        <f t="shared" si="12"/>
        <v>4640</v>
      </c>
    </row>
    <row r="688" spans="1:16" x14ac:dyDescent="0.25">
      <c r="A688" t="s">
        <v>604</v>
      </c>
      <c r="B688" t="s">
        <v>605</v>
      </c>
      <c r="D688" t="s">
        <v>43</v>
      </c>
      <c r="E688">
        <v>9</v>
      </c>
      <c r="F688">
        <v>0</v>
      </c>
      <c r="G688">
        <v>0</v>
      </c>
      <c r="H688">
        <v>5729</v>
      </c>
      <c r="I688">
        <v>5729</v>
      </c>
      <c r="J688">
        <v>0</v>
      </c>
      <c r="K688">
        <v>0</v>
      </c>
      <c r="L688">
        <v>22014</v>
      </c>
      <c r="M688">
        <v>2751.75</v>
      </c>
      <c r="N688">
        <v>2.08</v>
      </c>
      <c r="O688">
        <v>2526.25</v>
      </c>
      <c r="P688" s="24">
        <f t="shared" si="12"/>
        <v>5729</v>
      </c>
    </row>
    <row r="689" spans="1:16" x14ac:dyDescent="0.25">
      <c r="A689" t="s">
        <v>606</v>
      </c>
      <c r="B689" t="s">
        <v>607</v>
      </c>
      <c r="D689" t="s">
        <v>43</v>
      </c>
      <c r="E689">
        <v>9</v>
      </c>
      <c r="F689">
        <v>14000</v>
      </c>
      <c r="G689">
        <v>0</v>
      </c>
      <c r="H689">
        <v>5695</v>
      </c>
      <c r="I689">
        <v>19695</v>
      </c>
      <c r="J689">
        <v>0</v>
      </c>
      <c r="K689">
        <v>0</v>
      </c>
      <c r="L689">
        <v>7033</v>
      </c>
      <c r="M689">
        <v>879.13</v>
      </c>
      <c r="N689">
        <v>6.48</v>
      </c>
      <c r="O689">
        <v>0</v>
      </c>
      <c r="P689" s="24">
        <f t="shared" si="12"/>
        <v>5695</v>
      </c>
    </row>
    <row r="690" spans="1:16" x14ac:dyDescent="0.25">
      <c r="A690" t="s">
        <v>608</v>
      </c>
      <c r="B690" t="s">
        <v>609</v>
      </c>
      <c r="D690" t="s">
        <v>43</v>
      </c>
      <c r="E690">
        <v>9</v>
      </c>
      <c r="F690">
        <v>3500</v>
      </c>
      <c r="G690">
        <v>0</v>
      </c>
      <c r="H690">
        <v>2993</v>
      </c>
      <c r="I690">
        <v>6493</v>
      </c>
      <c r="J690">
        <v>0</v>
      </c>
      <c r="K690">
        <v>0</v>
      </c>
      <c r="L690">
        <v>10824</v>
      </c>
      <c r="M690">
        <v>1353</v>
      </c>
      <c r="N690">
        <v>2.21</v>
      </c>
      <c r="O690">
        <v>0</v>
      </c>
      <c r="P690" s="24">
        <f t="shared" si="12"/>
        <v>2993</v>
      </c>
    </row>
    <row r="691" spans="1:16" x14ac:dyDescent="0.25">
      <c r="A691" t="s">
        <v>610</v>
      </c>
      <c r="B691" t="s">
        <v>611</v>
      </c>
      <c r="D691" t="s">
        <v>43</v>
      </c>
      <c r="E691">
        <v>9</v>
      </c>
      <c r="F691">
        <v>2000</v>
      </c>
      <c r="G691">
        <v>0</v>
      </c>
      <c r="H691">
        <v>1890</v>
      </c>
      <c r="I691">
        <v>3890</v>
      </c>
      <c r="J691">
        <v>0</v>
      </c>
      <c r="K691">
        <v>0</v>
      </c>
      <c r="L691">
        <v>20173</v>
      </c>
      <c r="M691">
        <v>2521.63</v>
      </c>
      <c r="N691">
        <v>0.75</v>
      </c>
      <c r="O691">
        <v>3674.88</v>
      </c>
      <c r="P691" s="24">
        <f t="shared" si="12"/>
        <v>1890</v>
      </c>
    </row>
    <row r="692" spans="1:16" x14ac:dyDescent="0.25">
      <c r="A692" t="s">
        <v>612</v>
      </c>
      <c r="B692" t="s">
        <v>613</v>
      </c>
      <c r="D692" t="s">
        <v>43</v>
      </c>
      <c r="E692">
        <v>9</v>
      </c>
      <c r="F692">
        <v>9500</v>
      </c>
      <c r="G692">
        <v>0</v>
      </c>
      <c r="H692">
        <v>3500</v>
      </c>
      <c r="I692">
        <v>13000</v>
      </c>
      <c r="J692">
        <v>0</v>
      </c>
      <c r="K692">
        <v>0</v>
      </c>
      <c r="L692">
        <v>10248</v>
      </c>
      <c r="M692">
        <v>1281</v>
      </c>
      <c r="N692">
        <v>2.73</v>
      </c>
      <c r="O692">
        <v>0</v>
      </c>
      <c r="P692" s="24">
        <f t="shared" si="12"/>
        <v>3500</v>
      </c>
    </row>
    <row r="693" spans="1:16" x14ac:dyDescent="0.25">
      <c r="A693" t="s">
        <v>614</v>
      </c>
      <c r="B693" t="s">
        <v>615</v>
      </c>
      <c r="D693" t="s">
        <v>43</v>
      </c>
      <c r="E693">
        <v>9</v>
      </c>
      <c r="F693">
        <v>0</v>
      </c>
      <c r="G693">
        <v>0</v>
      </c>
      <c r="H693">
        <v>1437</v>
      </c>
      <c r="I693">
        <v>1437</v>
      </c>
      <c r="J693">
        <v>0</v>
      </c>
      <c r="K693">
        <v>0</v>
      </c>
      <c r="L693">
        <v>5040</v>
      </c>
      <c r="M693">
        <v>630</v>
      </c>
      <c r="N693">
        <v>2.2799999999999998</v>
      </c>
      <c r="O693">
        <v>453</v>
      </c>
      <c r="P693" s="24">
        <f t="shared" si="12"/>
        <v>1437</v>
      </c>
    </row>
    <row r="694" spans="1:16" x14ac:dyDescent="0.25">
      <c r="A694" t="s">
        <v>616</v>
      </c>
      <c r="B694" t="s">
        <v>617</v>
      </c>
      <c r="D694" t="s">
        <v>43</v>
      </c>
      <c r="E694">
        <v>9</v>
      </c>
      <c r="F694">
        <v>7500</v>
      </c>
      <c r="G694">
        <v>0</v>
      </c>
      <c r="H694">
        <v>6492</v>
      </c>
      <c r="I694">
        <v>13992</v>
      </c>
      <c r="J694">
        <v>0</v>
      </c>
      <c r="K694">
        <v>0</v>
      </c>
      <c r="L694">
        <v>2292</v>
      </c>
      <c r="M694">
        <v>286.5</v>
      </c>
      <c r="N694">
        <v>22.66</v>
      </c>
      <c r="O694">
        <v>0</v>
      </c>
      <c r="P694" s="24">
        <f t="shared" si="12"/>
        <v>6492</v>
      </c>
    </row>
    <row r="695" spans="1:16" x14ac:dyDescent="0.25">
      <c r="A695" t="s">
        <v>618</v>
      </c>
      <c r="B695" t="s">
        <v>619</v>
      </c>
      <c r="D695" t="s">
        <v>43</v>
      </c>
      <c r="E695">
        <v>9</v>
      </c>
      <c r="F695">
        <v>0</v>
      </c>
      <c r="G695">
        <v>0</v>
      </c>
      <c r="H695">
        <v>5400</v>
      </c>
      <c r="I695">
        <v>5400</v>
      </c>
      <c r="J695">
        <v>0</v>
      </c>
      <c r="K695">
        <v>0</v>
      </c>
      <c r="L695">
        <v>13848</v>
      </c>
      <c r="M695">
        <v>1731</v>
      </c>
      <c r="N695">
        <v>3.12</v>
      </c>
      <c r="O695">
        <v>0</v>
      </c>
      <c r="P695" s="24">
        <f t="shared" si="12"/>
        <v>5400</v>
      </c>
    </row>
    <row r="696" spans="1:16" x14ac:dyDescent="0.25">
      <c r="A696" t="s">
        <v>620</v>
      </c>
      <c r="B696" t="s">
        <v>621</v>
      </c>
      <c r="D696" t="s">
        <v>43</v>
      </c>
      <c r="E696">
        <v>9</v>
      </c>
      <c r="F696">
        <v>15500</v>
      </c>
      <c r="G696">
        <v>0</v>
      </c>
      <c r="H696">
        <v>7371</v>
      </c>
      <c r="I696">
        <v>22871</v>
      </c>
      <c r="J696">
        <v>0</v>
      </c>
      <c r="K696">
        <v>0</v>
      </c>
      <c r="L696">
        <v>5686</v>
      </c>
      <c r="M696">
        <v>710.75</v>
      </c>
      <c r="N696">
        <v>10.37</v>
      </c>
      <c r="O696">
        <v>0</v>
      </c>
      <c r="P696" s="24">
        <f t="shared" si="12"/>
        <v>7371</v>
      </c>
    </row>
    <row r="697" spans="1:16" x14ac:dyDescent="0.25">
      <c r="A697" t="s">
        <v>622</v>
      </c>
      <c r="B697" t="s">
        <v>623</v>
      </c>
      <c r="D697" t="s">
        <v>43</v>
      </c>
      <c r="E697">
        <v>9</v>
      </c>
      <c r="F697">
        <v>3500</v>
      </c>
      <c r="G697">
        <v>0</v>
      </c>
      <c r="H697">
        <v>3397</v>
      </c>
      <c r="I697">
        <v>6897</v>
      </c>
      <c r="J697">
        <v>0</v>
      </c>
      <c r="K697">
        <v>0</v>
      </c>
      <c r="L697">
        <v>11384</v>
      </c>
      <c r="M697">
        <v>1423</v>
      </c>
      <c r="N697">
        <v>2.39</v>
      </c>
      <c r="O697">
        <v>0</v>
      </c>
      <c r="P697" s="24">
        <f t="shared" si="12"/>
        <v>3397</v>
      </c>
    </row>
    <row r="698" spans="1:16" x14ac:dyDescent="0.25">
      <c r="A698" t="s">
        <v>624</v>
      </c>
      <c r="B698" t="s">
        <v>625</v>
      </c>
      <c r="D698" t="s">
        <v>43</v>
      </c>
      <c r="E698">
        <v>9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 s="24">
        <f t="shared" si="12"/>
        <v>0</v>
      </c>
    </row>
    <row r="699" spans="1:16" x14ac:dyDescent="0.25">
      <c r="A699" t="s">
        <v>626</v>
      </c>
      <c r="B699" t="s">
        <v>627</v>
      </c>
      <c r="D699" t="s">
        <v>43</v>
      </c>
      <c r="E699">
        <v>9</v>
      </c>
      <c r="F699">
        <v>3500</v>
      </c>
      <c r="G699">
        <v>0</v>
      </c>
      <c r="H699">
        <v>-16</v>
      </c>
      <c r="I699">
        <v>3484</v>
      </c>
      <c r="J699">
        <v>0</v>
      </c>
      <c r="K699">
        <v>0</v>
      </c>
      <c r="L699">
        <v>3853</v>
      </c>
      <c r="M699">
        <v>481.63</v>
      </c>
      <c r="N699">
        <v>-0.03</v>
      </c>
      <c r="O699">
        <v>0</v>
      </c>
      <c r="P699" s="24">
        <f t="shared" si="12"/>
        <v>-16</v>
      </c>
    </row>
    <row r="700" spans="1:16" x14ac:dyDescent="0.25">
      <c r="A700" t="s">
        <v>628</v>
      </c>
      <c r="B700" t="s">
        <v>629</v>
      </c>
      <c r="D700" t="s">
        <v>43</v>
      </c>
      <c r="E700">
        <v>9</v>
      </c>
      <c r="F700">
        <v>2500</v>
      </c>
      <c r="G700">
        <v>0</v>
      </c>
      <c r="H700">
        <v>2652</v>
      </c>
      <c r="I700">
        <v>5152</v>
      </c>
      <c r="J700">
        <v>0</v>
      </c>
      <c r="K700">
        <v>0</v>
      </c>
      <c r="L700">
        <v>3594</v>
      </c>
      <c r="M700">
        <v>449.25</v>
      </c>
      <c r="N700">
        <v>5.9</v>
      </c>
      <c r="O700">
        <v>0</v>
      </c>
      <c r="P700" s="24">
        <f t="shared" si="12"/>
        <v>2652</v>
      </c>
    </row>
    <row r="701" spans="1:16" x14ac:dyDescent="0.25">
      <c r="A701" t="s">
        <v>630</v>
      </c>
      <c r="B701" t="s">
        <v>631</v>
      </c>
      <c r="D701" t="s">
        <v>43</v>
      </c>
      <c r="E701">
        <v>9</v>
      </c>
      <c r="F701">
        <v>0</v>
      </c>
      <c r="G701">
        <v>0</v>
      </c>
      <c r="H701">
        <v>1873</v>
      </c>
      <c r="I701">
        <v>1873</v>
      </c>
      <c r="J701">
        <v>0</v>
      </c>
      <c r="K701">
        <v>0</v>
      </c>
      <c r="L701">
        <v>2379</v>
      </c>
      <c r="M701">
        <v>297.38</v>
      </c>
      <c r="N701">
        <v>6.3</v>
      </c>
      <c r="O701">
        <v>0</v>
      </c>
      <c r="P701" s="24">
        <f t="shared" si="12"/>
        <v>1873</v>
      </c>
    </row>
    <row r="702" spans="1:16" x14ac:dyDescent="0.25">
      <c r="A702" t="s">
        <v>632</v>
      </c>
      <c r="B702" t="s">
        <v>633</v>
      </c>
      <c r="D702" t="s">
        <v>43</v>
      </c>
      <c r="E702">
        <v>11.23</v>
      </c>
      <c r="F702">
        <v>4000</v>
      </c>
      <c r="G702">
        <v>0</v>
      </c>
      <c r="H702">
        <v>463</v>
      </c>
      <c r="I702">
        <v>4463</v>
      </c>
      <c r="J702">
        <v>0</v>
      </c>
      <c r="K702">
        <v>0</v>
      </c>
      <c r="L702">
        <v>1916</v>
      </c>
      <c r="M702">
        <v>239.5</v>
      </c>
      <c r="N702">
        <v>1.93</v>
      </c>
      <c r="O702">
        <v>0</v>
      </c>
      <c r="P702" s="24">
        <f t="shared" si="12"/>
        <v>463</v>
      </c>
    </row>
    <row r="703" spans="1:16" x14ac:dyDescent="0.25">
      <c r="A703" t="s">
        <v>634</v>
      </c>
      <c r="B703" t="s">
        <v>635</v>
      </c>
      <c r="D703" t="s">
        <v>43</v>
      </c>
      <c r="E703">
        <v>9</v>
      </c>
      <c r="F703">
        <v>2000</v>
      </c>
      <c r="G703">
        <v>0</v>
      </c>
      <c r="H703">
        <v>41</v>
      </c>
      <c r="I703">
        <v>2041</v>
      </c>
      <c r="J703">
        <v>0</v>
      </c>
      <c r="K703">
        <v>0</v>
      </c>
      <c r="L703">
        <v>1588</v>
      </c>
      <c r="M703">
        <v>198.5</v>
      </c>
      <c r="N703">
        <v>0.21</v>
      </c>
      <c r="O703">
        <v>0</v>
      </c>
      <c r="P703" s="24">
        <f t="shared" si="12"/>
        <v>41</v>
      </c>
    </row>
    <row r="704" spans="1:16" x14ac:dyDescent="0.25">
      <c r="A704" t="s">
        <v>636</v>
      </c>
      <c r="B704" t="s">
        <v>637</v>
      </c>
      <c r="D704" t="s">
        <v>43</v>
      </c>
      <c r="E704">
        <v>9</v>
      </c>
      <c r="F704">
        <v>0</v>
      </c>
      <c r="G704">
        <v>0</v>
      </c>
      <c r="H704">
        <v>4460</v>
      </c>
      <c r="I704">
        <v>4460</v>
      </c>
      <c r="J704">
        <v>0</v>
      </c>
      <c r="K704">
        <v>0</v>
      </c>
      <c r="L704">
        <v>460</v>
      </c>
      <c r="M704">
        <v>57.5</v>
      </c>
      <c r="N704">
        <v>77.569999999999993</v>
      </c>
      <c r="O704">
        <v>0</v>
      </c>
      <c r="P704" s="24">
        <f t="shared" si="12"/>
        <v>4460</v>
      </c>
    </row>
    <row r="705" spans="1:16" x14ac:dyDescent="0.25">
      <c r="A705" t="s">
        <v>649</v>
      </c>
      <c r="B705" t="s">
        <v>650</v>
      </c>
      <c r="D705" t="s">
        <v>43</v>
      </c>
      <c r="E705">
        <v>9</v>
      </c>
      <c r="F705">
        <v>2000</v>
      </c>
      <c r="G705">
        <v>0</v>
      </c>
      <c r="H705">
        <v>0</v>
      </c>
      <c r="I705">
        <v>2000</v>
      </c>
      <c r="J705">
        <v>0</v>
      </c>
      <c r="K705">
        <v>0</v>
      </c>
      <c r="L705">
        <v>137</v>
      </c>
      <c r="M705">
        <v>17.13</v>
      </c>
      <c r="N705">
        <v>0</v>
      </c>
      <c r="O705">
        <v>0</v>
      </c>
      <c r="P705" s="24">
        <f t="shared" si="12"/>
        <v>0</v>
      </c>
    </row>
    <row r="706" spans="1:16" x14ac:dyDescent="0.25">
      <c r="P706" s="24">
        <f t="shared" si="12"/>
        <v>0</v>
      </c>
    </row>
    <row r="707" spans="1:16" x14ac:dyDescent="0.25">
      <c r="P707" s="24">
        <f t="shared" si="12"/>
        <v>0</v>
      </c>
    </row>
    <row r="708" spans="1:16" x14ac:dyDescent="0.25">
      <c r="P708" s="24">
        <f t="shared" si="12"/>
        <v>0</v>
      </c>
    </row>
    <row r="709" spans="1:16" x14ac:dyDescent="0.25">
      <c r="P709" s="24">
        <f t="shared" si="12"/>
        <v>0</v>
      </c>
    </row>
    <row r="710" spans="1:16" x14ac:dyDescent="0.25">
      <c r="P710" s="24">
        <f t="shared" si="12"/>
        <v>0</v>
      </c>
    </row>
    <row r="711" spans="1:16" x14ac:dyDescent="0.25">
      <c r="P711" s="24">
        <f t="shared" si="12"/>
        <v>0</v>
      </c>
    </row>
    <row r="712" spans="1:16" x14ac:dyDescent="0.25">
      <c r="P712" s="24">
        <f t="shared" si="12"/>
        <v>0</v>
      </c>
    </row>
    <row r="713" spans="1:16" x14ac:dyDescent="0.25">
      <c r="P713" s="24">
        <f t="shared" si="12"/>
        <v>0</v>
      </c>
    </row>
    <row r="714" spans="1:16" x14ac:dyDescent="0.25">
      <c r="P714" s="24">
        <f t="shared" si="12"/>
        <v>0</v>
      </c>
    </row>
    <row r="715" spans="1:16" x14ac:dyDescent="0.25">
      <c r="P715" s="24">
        <f t="shared" si="12"/>
        <v>0</v>
      </c>
    </row>
    <row r="716" spans="1:16" x14ac:dyDescent="0.25">
      <c r="P716" s="24">
        <f t="shared" si="12"/>
        <v>0</v>
      </c>
    </row>
    <row r="717" spans="1:16" x14ac:dyDescent="0.25">
      <c r="P717" s="24">
        <f t="shared" si="12"/>
        <v>0</v>
      </c>
    </row>
    <row r="718" spans="1:16" x14ac:dyDescent="0.25">
      <c r="P718" s="24">
        <f t="shared" si="12"/>
        <v>0</v>
      </c>
    </row>
    <row r="719" spans="1:16" x14ac:dyDescent="0.25">
      <c r="P719" s="24">
        <f t="shared" si="12"/>
        <v>0</v>
      </c>
    </row>
    <row r="720" spans="1:16" x14ac:dyDescent="0.25">
      <c r="P720" s="24">
        <f t="shared" si="12"/>
        <v>0</v>
      </c>
    </row>
    <row r="721" spans="16:16" x14ac:dyDescent="0.25">
      <c r="P721" s="24">
        <f t="shared" si="12"/>
        <v>0</v>
      </c>
    </row>
    <row r="722" spans="16:16" x14ac:dyDescent="0.25">
      <c r="P722" s="24">
        <f t="shared" si="12"/>
        <v>0</v>
      </c>
    </row>
    <row r="723" spans="16:16" x14ac:dyDescent="0.25">
      <c r="P723" s="24">
        <f t="shared" si="12"/>
        <v>0</v>
      </c>
    </row>
    <row r="724" spans="16:16" x14ac:dyDescent="0.25">
      <c r="P724" s="24">
        <f t="shared" si="12"/>
        <v>0</v>
      </c>
    </row>
    <row r="725" spans="16:16" x14ac:dyDescent="0.25">
      <c r="P725" s="24">
        <f t="shared" si="12"/>
        <v>0</v>
      </c>
    </row>
    <row r="726" spans="16:16" x14ac:dyDescent="0.25">
      <c r="P726" s="24">
        <f t="shared" si="12"/>
        <v>0</v>
      </c>
    </row>
    <row r="727" spans="16:16" x14ac:dyDescent="0.25">
      <c r="P727" s="24">
        <f t="shared" si="12"/>
        <v>0</v>
      </c>
    </row>
    <row r="728" spans="16:16" x14ac:dyDescent="0.25">
      <c r="P728" s="24">
        <f t="shared" si="12"/>
        <v>0</v>
      </c>
    </row>
    <row r="729" spans="16:16" x14ac:dyDescent="0.25">
      <c r="P729" s="24">
        <f t="shared" si="12"/>
        <v>0</v>
      </c>
    </row>
    <row r="730" spans="16:16" x14ac:dyDescent="0.25">
      <c r="P730" s="24">
        <f t="shared" si="12"/>
        <v>0</v>
      </c>
    </row>
    <row r="731" spans="16:16" x14ac:dyDescent="0.25">
      <c r="P731" s="24">
        <f t="shared" si="12"/>
        <v>0</v>
      </c>
    </row>
    <row r="732" spans="16:16" x14ac:dyDescent="0.25">
      <c r="P732" s="24">
        <f t="shared" si="12"/>
        <v>0</v>
      </c>
    </row>
    <row r="733" spans="16:16" x14ac:dyDescent="0.25">
      <c r="P733" s="24">
        <f t="shared" si="12"/>
        <v>0</v>
      </c>
    </row>
    <row r="734" spans="16:16" x14ac:dyDescent="0.25">
      <c r="P734" s="24">
        <f t="shared" si="12"/>
        <v>0</v>
      </c>
    </row>
    <row r="735" spans="16:16" x14ac:dyDescent="0.25">
      <c r="P735" s="24">
        <f t="shared" si="12"/>
        <v>0</v>
      </c>
    </row>
    <row r="736" spans="16:16" x14ac:dyDescent="0.25">
      <c r="P736" s="24">
        <f t="shared" si="12"/>
        <v>0</v>
      </c>
    </row>
    <row r="737" spans="16:16" x14ac:dyDescent="0.25">
      <c r="P737" s="24">
        <f t="shared" si="12"/>
        <v>0</v>
      </c>
    </row>
    <row r="738" spans="16:16" x14ac:dyDescent="0.25">
      <c r="P738" s="24">
        <f t="shared" si="12"/>
        <v>0</v>
      </c>
    </row>
    <row r="739" spans="16:16" x14ac:dyDescent="0.25">
      <c r="P739" s="24">
        <f t="shared" si="12"/>
        <v>0</v>
      </c>
    </row>
    <row r="740" spans="16:16" x14ac:dyDescent="0.25">
      <c r="P740" s="24">
        <f>H740-G740</f>
        <v>0</v>
      </c>
    </row>
    <row r="741" spans="16:16" x14ac:dyDescent="0.25">
      <c r="P741" s="24">
        <f t="shared" si="12"/>
        <v>0</v>
      </c>
    </row>
    <row r="742" spans="16:16" x14ac:dyDescent="0.25">
      <c r="P742" s="24">
        <f t="shared" si="12"/>
        <v>0</v>
      </c>
    </row>
    <row r="743" spans="16:16" x14ac:dyDescent="0.25">
      <c r="P743" s="24">
        <f t="shared" si="12"/>
        <v>0</v>
      </c>
    </row>
    <row r="744" spans="16:16" x14ac:dyDescent="0.25">
      <c r="P744" s="24">
        <f t="shared" si="12"/>
        <v>0</v>
      </c>
    </row>
    <row r="745" spans="16:16" x14ac:dyDescent="0.25">
      <c r="P745" s="24">
        <f t="shared" si="12"/>
        <v>0</v>
      </c>
    </row>
    <row r="746" spans="16:16" x14ac:dyDescent="0.25">
      <c r="P746" s="24">
        <f t="shared" ref="P746:P809" si="13">H746-G746</f>
        <v>0</v>
      </c>
    </row>
    <row r="747" spans="16:16" x14ac:dyDescent="0.25">
      <c r="P747" s="24">
        <f t="shared" si="13"/>
        <v>0</v>
      </c>
    </row>
    <row r="748" spans="16:16" x14ac:dyDescent="0.25">
      <c r="P748" s="24">
        <f t="shared" si="13"/>
        <v>0</v>
      </c>
    </row>
    <row r="749" spans="16:16" x14ac:dyDescent="0.25">
      <c r="P749" s="24">
        <f t="shared" si="13"/>
        <v>0</v>
      </c>
    </row>
    <row r="750" spans="16:16" x14ac:dyDescent="0.25">
      <c r="P750" s="24">
        <f t="shared" si="13"/>
        <v>0</v>
      </c>
    </row>
    <row r="751" spans="16:16" x14ac:dyDescent="0.25">
      <c r="P751" s="24">
        <f t="shared" si="13"/>
        <v>0</v>
      </c>
    </row>
    <row r="752" spans="16:16" x14ac:dyDescent="0.25">
      <c r="P752" s="24">
        <f t="shared" si="13"/>
        <v>0</v>
      </c>
    </row>
    <row r="753" spans="16:16" x14ac:dyDescent="0.25">
      <c r="P753" s="24">
        <f t="shared" si="13"/>
        <v>0</v>
      </c>
    </row>
    <row r="754" spans="16:16" x14ac:dyDescent="0.25">
      <c r="P754" s="24">
        <f t="shared" si="13"/>
        <v>0</v>
      </c>
    </row>
    <row r="755" spans="16:16" x14ac:dyDescent="0.25">
      <c r="P755" s="24">
        <f t="shared" si="13"/>
        <v>0</v>
      </c>
    </row>
    <row r="756" spans="16:16" x14ac:dyDescent="0.25">
      <c r="P756" s="24">
        <f t="shared" si="13"/>
        <v>0</v>
      </c>
    </row>
    <row r="757" spans="16:16" x14ac:dyDescent="0.25">
      <c r="P757" s="24">
        <f t="shared" si="13"/>
        <v>0</v>
      </c>
    </row>
    <row r="758" spans="16:16" x14ac:dyDescent="0.25">
      <c r="P758" s="24">
        <f t="shared" si="13"/>
        <v>0</v>
      </c>
    </row>
    <row r="759" spans="16:16" x14ac:dyDescent="0.25">
      <c r="P759" s="24">
        <f t="shared" si="13"/>
        <v>0</v>
      </c>
    </row>
    <row r="760" spans="16:16" x14ac:dyDescent="0.25">
      <c r="P760" s="24">
        <f t="shared" si="13"/>
        <v>0</v>
      </c>
    </row>
    <row r="761" spans="16:16" x14ac:dyDescent="0.25">
      <c r="P761" s="24">
        <f t="shared" si="13"/>
        <v>0</v>
      </c>
    </row>
    <row r="762" spans="16:16" x14ac:dyDescent="0.25">
      <c r="P762" s="24">
        <f t="shared" si="13"/>
        <v>0</v>
      </c>
    </row>
    <row r="763" spans="16:16" x14ac:dyDescent="0.25">
      <c r="P763" s="24">
        <f t="shared" si="13"/>
        <v>0</v>
      </c>
    </row>
    <row r="764" spans="16:16" x14ac:dyDescent="0.25">
      <c r="P764" s="24">
        <f t="shared" si="13"/>
        <v>0</v>
      </c>
    </row>
    <row r="765" spans="16:16" x14ac:dyDescent="0.25">
      <c r="P765" s="24">
        <f t="shared" si="13"/>
        <v>0</v>
      </c>
    </row>
    <row r="766" spans="16:16" x14ac:dyDescent="0.25">
      <c r="P766" s="24">
        <f t="shared" si="13"/>
        <v>0</v>
      </c>
    </row>
    <row r="767" spans="16:16" x14ac:dyDescent="0.25">
      <c r="P767" s="24">
        <f t="shared" si="13"/>
        <v>0</v>
      </c>
    </row>
    <row r="768" spans="16:16" x14ac:dyDescent="0.25">
      <c r="P768" s="24">
        <f t="shared" si="13"/>
        <v>0</v>
      </c>
    </row>
    <row r="769" spans="16:16" x14ac:dyDescent="0.25">
      <c r="P769" s="24">
        <f t="shared" si="13"/>
        <v>0</v>
      </c>
    </row>
    <row r="770" spans="16:16" x14ac:dyDescent="0.25">
      <c r="P770" s="24">
        <f t="shared" si="13"/>
        <v>0</v>
      </c>
    </row>
    <row r="771" spans="16:16" x14ac:dyDescent="0.25">
      <c r="P771" s="24">
        <f t="shared" si="13"/>
        <v>0</v>
      </c>
    </row>
    <row r="772" spans="16:16" x14ac:dyDescent="0.25">
      <c r="P772" s="24">
        <f t="shared" si="13"/>
        <v>0</v>
      </c>
    </row>
    <row r="773" spans="16:16" x14ac:dyDescent="0.25">
      <c r="P773" s="24">
        <f t="shared" si="13"/>
        <v>0</v>
      </c>
    </row>
    <row r="774" spans="16:16" x14ac:dyDescent="0.25">
      <c r="P774" s="24">
        <f t="shared" si="13"/>
        <v>0</v>
      </c>
    </row>
    <row r="775" spans="16:16" x14ac:dyDescent="0.25">
      <c r="P775" s="24">
        <f t="shared" si="13"/>
        <v>0</v>
      </c>
    </row>
    <row r="776" spans="16:16" x14ac:dyDescent="0.25">
      <c r="P776" s="24">
        <f t="shared" si="13"/>
        <v>0</v>
      </c>
    </row>
    <row r="777" spans="16:16" x14ac:dyDescent="0.25">
      <c r="P777" s="24">
        <f t="shared" si="13"/>
        <v>0</v>
      </c>
    </row>
    <row r="778" spans="16:16" x14ac:dyDescent="0.25">
      <c r="P778" s="24">
        <f t="shared" si="13"/>
        <v>0</v>
      </c>
    </row>
    <row r="779" spans="16:16" x14ac:dyDescent="0.25">
      <c r="P779" s="24">
        <f t="shared" si="13"/>
        <v>0</v>
      </c>
    </row>
    <row r="780" spans="16:16" x14ac:dyDescent="0.25">
      <c r="P780" s="24">
        <f t="shared" si="13"/>
        <v>0</v>
      </c>
    </row>
    <row r="781" spans="16:16" x14ac:dyDescent="0.25">
      <c r="P781" s="24">
        <f t="shared" si="13"/>
        <v>0</v>
      </c>
    </row>
    <row r="782" spans="16:16" x14ac:dyDescent="0.25">
      <c r="P782" s="24">
        <f t="shared" si="13"/>
        <v>0</v>
      </c>
    </row>
    <row r="783" spans="16:16" x14ac:dyDescent="0.25">
      <c r="P783" s="24">
        <f t="shared" si="13"/>
        <v>0</v>
      </c>
    </row>
    <row r="784" spans="16:16" x14ac:dyDescent="0.25">
      <c r="P784" s="24">
        <f t="shared" si="13"/>
        <v>0</v>
      </c>
    </row>
    <row r="785" spans="16:16" x14ac:dyDescent="0.25">
      <c r="P785" s="24">
        <f t="shared" si="13"/>
        <v>0</v>
      </c>
    </row>
    <row r="786" spans="16:16" x14ac:dyDescent="0.25">
      <c r="P786" s="24">
        <f t="shared" si="13"/>
        <v>0</v>
      </c>
    </row>
    <row r="787" spans="16:16" x14ac:dyDescent="0.25">
      <c r="P787" s="24">
        <f t="shared" si="13"/>
        <v>0</v>
      </c>
    </row>
    <row r="788" spans="16:16" x14ac:dyDescent="0.25">
      <c r="P788" s="24">
        <f t="shared" si="13"/>
        <v>0</v>
      </c>
    </row>
    <row r="789" spans="16:16" x14ac:dyDescent="0.25">
      <c r="P789" s="24">
        <f t="shared" si="13"/>
        <v>0</v>
      </c>
    </row>
    <row r="790" spans="16:16" x14ac:dyDescent="0.25">
      <c r="P790" s="24">
        <f t="shared" si="13"/>
        <v>0</v>
      </c>
    </row>
    <row r="791" spans="16:16" x14ac:dyDescent="0.25">
      <c r="P791" s="24">
        <f t="shared" si="13"/>
        <v>0</v>
      </c>
    </row>
    <row r="792" spans="16:16" x14ac:dyDescent="0.25">
      <c r="P792" s="24">
        <f t="shared" si="13"/>
        <v>0</v>
      </c>
    </row>
    <row r="793" spans="16:16" x14ac:dyDescent="0.25">
      <c r="P793" s="24">
        <f t="shared" si="13"/>
        <v>0</v>
      </c>
    </row>
    <row r="794" spans="16:16" x14ac:dyDescent="0.25">
      <c r="P794" s="24">
        <f t="shared" si="13"/>
        <v>0</v>
      </c>
    </row>
    <row r="795" spans="16:16" x14ac:dyDescent="0.25">
      <c r="P795" s="24">
        <f t="shared" si="13"/>
        <v>0</v>
      </c>
    </row>
    <row r="796" spans="16:16" x14ac:dyDescent="0.25">
      <c r="P796" s="24">
        <f t="shared" si="13"/>
        <v>0</v>
      </c>
    </row>
    <row r="797" spans="16:16" x14ac:dyDescent="0.25">
      <c r="P797" s="24">
        <f t="shared" si="13"/>
        <v>0</v>
      </c>
    </row>
    <row r="798" spans="16:16" x14ac:dyDescent="0.25">
      <c r="P798" s="24">
        <f t="shared" si="13"/>
        <v>0</v>
      </c>
    </row>
    <row r="799" spans="16:16" x14ac:dyDescent="0.25">
      <c r="P799" s="24">
        <f t="shared" si="13"/>
        <v>0</v>
      </c>
    </row>
    <row r="800" spans="16:16" x14ac:dyDescent="0.25">
      <c r="P800" s="24">
        <f t="shared" si="13"/>
        <v>0</v>
      </c>
    </row>
    <row r="801" spans="16:16" x14ac:dyDescent="0.25">
      <c r="P801" s="24">
        <f t="shared" si="13"/>
        <v>0</v>
      </c>
    </row>
    <row r="802" spans="16:16" x14ac:dyDescent="0.25">
      <c r="P802" s="24">
        <f t="shared" si="13"/>
        <v>0</v>
      </c>
    </row>
    <row r="803" spans="16:16" x14ac:dyDescent="0.25">
      <c r="P803" s="24">
        <f t="shared" si="13"/>
        <v>0</v>
      </c>
    </row>
    <row r="804" spans="16:16" x14ac:dyDescent="0.25">
      <c r="P804" s="24">
        <f t="shared" si="13"/>
        <v>0</v>
      </c>
    </row>
    <row r="805" spans="16:16" x14ac:dyDescent="0.25">
      <c r="P805" s="24">
        <f t="shared" si="13"/>
        <v>0</v>
      </c>
    </row>
    <row r="806" spans="16:16" x14ac:dyDescent="0.25">
      <c r="P806" s="24">
        <f t="shared" si="13"/>
        <v>0</v>
      </c>
    </row>
    <row r="807" spans="16:16" x14ac:dyDescent="0.25">
      <c r="P807" s="24">
        <f t="shared" si="13"/>
        <v>0</v>
      </c>
    </row>
    <row r="808" spans="16:16" x14ac:dyDescent="0.25">
      <c r="P808" s="24">
        <f t="shared" si="13"/>
        <v>0</v>
      </c>
    </row>
    <row r="809" spans="16:16" x14ac:dyDescent="0.25">
      <c r="P809" s="24">
        <f t="shared" si="13"/>
        <v>0</v>
      </c>
    </row>
    <row r="810" spans="16:16" x14ac:dyDescent="0.25">
      <c r="P810" s="24">
        <f t="shared" ref="P810:P873" si="14">H810-G810</f>
        <v>0</v>
      </c>
    </row>
    <row r="811" spans="16:16" x14ac:dyDescent="0.25">
      <c r="P811" s="24">
        <f t="shared" si="14"/>
        <v>0</v>
      </c>
    </row>
    <row r="812" spans="16:16" x14ac:dyDescent="0.25">
      <c r="P812" s="24">
        <f t="shared" si="14"/>
        <v>0</v>
      </c>
    </row>
    <row r="813" spans="16:16" x14ac:dyDescent="0.25">
      <c r="P813" s="24">
        <f t="shared" si="14"/>
        <v>0</v>
      </c>
    </row>
    <row r="814" spans="16:16" x14ac:dyDescent="0.25">
      <c r="P814" s="24">
        <f t="shared" si="14"/>
        <v>0</v>
      </c>
    </row>
    <row r="815" spans="16:16" x14ac:dyDescent="0.25">
      <c r="P815" s="24">
        <f t="shared" si="14"/>
        <v>0</v>
      </c>
    </row>
    <row r="816" spans="16:16" x14ac:dyDescent="0.25">
      <c r="P816" s="24">
        <f t="shared" si="14"/>
        <v>0</v>
      </c>
    </row>
    <row r="817" spans="16:16" x14ac:dyDescent="0.25">
      <c r="P817" s="24">
        <f t="shared" si="14"/>
        <v>0</v>
      </c>
    </row>
    <row r="818" spans="16:16" x14ac:dyDescent="0.25">
      <c r="P818" s="24">
        <f t="shared" si="14"/>
        <v>0</v>
      </c>
    </row>
    <row r="819" spans="16:16" x14ac:dyDescent="0.25">
      <c r="P819" s="24">
        <f t="shared" si="14"/>
        <v>0</v>
      </c>
    </row>
    <row r="820" spans="16:16" x14ac:dyDescent="0.25">
      <c r="P820" s="24">
        <f t="shared" si="14"/>
        <v>0</v>
      </c>
    </row>
    <row r="821" spans="16:16" x14ac:dyDescent="0.25">
      <c r="P821" s="24">
        <f t="shared" si="14"/>
        <v>0</v>
      </c>
    </row>
    <row r="822" spans="16:16" x14ac:dyDescent="0.25">
      <c r="P822" s="24">
        <f t="shared" si="14"/>
        <v>0</v>
      </c>
    </row>
    <row r="823" spans="16:16" x14ac:dyDescent="0.25">
      <c r="P823" s="24">
        <f t="shared" si="14"/>
        <v>0</v>
      </c>
    </row>
    <row r="824" spans="16:16" x14ac:dyDescent="0.25">
      <c r="P824" s="24">
        <f t="shared" si="14"/>
        <v>0</v>
      </c>
    </row>
    <row r="825" spans="16:16" x14ac:dyDescent="0.25">
      <c r="P825" s="24">
        <f t="shared" si="14"/>
        <v>0</v>
      </c>
    </row>
    <row r="826" spans="16:16" x14ac:dyDescent="0.25">
      <c r="P826" s="24">
        <f t="shared" si="14"/>
        <v>0</v>
      </c>
    </row>
    <row r="827" spans="16:16" x14ac:dyDescent="0.25">
      <c r="P827" s="24">
        <f t="shared" si="14"/>
        <v>0</v>
      </c>
    </row>
    <row r="828" spans="16:16" x14ac:dyDescent="0.25">
      <c r="P828" s="24">
        <f t="shared" si="14"/>
        <v>0</v>
      </c>
    </row>
    <row r="829" spans="16:16" x14ac:dyDescent="0.25">
      <c r="P829" s="24">
        <f t="shared" si="14"/>
        <v>0</v>
      </c>
    </row>
    <row r="830" spans="16:16" x14ac:dyDescent="0.25">
      <c r="P830" s="24">
        <f t="shared" si="14"/>
        <v>0</v>
      </c>
    </row>
    <row r="831" spans="16:16" x14ac:dyDescent="0.25">
      <c r="P831" s="24">
        <f t="shared" si="14"/>
        <v>0</v>
      </c>
    </row>
    <row r="832" spans="16:16" x14ac:dyDescent="0.25">
      <c r="P832" s="24">
        <f t="shared" si="14"/>
        <v>0</v>
      </c>
    </row>
    <row r="833" spans="16:16" x14ac:dyDescent="0.25">
      <c r="P833" s="24">
        <f t="shared" si="14"/>
        <v>0</v>
      </c>
    </row>
    <row r="834" spans="16:16" x14ac:dyDescent="0.25">
      <c r="P834" s="24">
        <f t="shared" si="14"/>
        <v>0</v>
      </c>
    </row>
    <row r="835" spans="16:16" x14ac:dyDescent="0.25">
      <c r="P835" s="24">
        <f t="shared" si="14"/>
        <v>0</v>
      </c>
    </row>
    <row r="836" spans="16:16" x14ac:dyDescent="0.25">
      <c r="P836" s="24">
        <f t="shared" si="14"/>
        <v>0</v>
      </c>
    </row>
    <row r="837" spans="16:16" x14ac:dyDescent="0.25">
      <c r="P837" s="24">
        <f t="shared" si="14"/>
        <v>0</v>
      </c>
    </row>
    <row r="838" spans="16:16" x14ac:dyDescent="0.25">
      <c r="P838" s="24">
        <f t="shared" si="14"/>
        <v>0</v>
      </c>
    </row>
    <row r="839" spans="16:16" x14ac:dyDescent="0.25">
      <c r="P839" s="24">
        <f t="shared" si="14"/>
        <v>0</v>
      </c>
    </row>
    <row r="840" spans="16:16" x14ac:dyDescent="0.25">
      <c r="P840" s="24">
        <f t="shared" si="14"/>
        <v>0</v>
      </c>
    </row>
    <row r="841" spans="16:16" x14ac:dyDescent="0.25">
      <c r="P841" s="24">
        <f t="shared" si="14"/>
        <v>0</v>
      </c>
    </row>
    <row r="842" spans="16:16" x14ac:dyDescent="0.25">
      <c r="P842" s="24">
        <f t="shared" si="14"/>
        <v>0</v>
      </c>
    </row>
    <row r="843" spans="16:16" x14ac:dyDescent="0.25">
      <c r="P843" s="24">
        <f t="shared" si="14"/>
        <v>0</v>
      </c>
    </row>
    <row r="844" spans="16:16" x14ac:dyDescent="0.25">
      <c r="P844" s="24">
        <f t="shared" si="14"/>
        <v>0</v>
      </c>
    </row>
    <row r="845" spans="16:16" x14ac:dyDescent="0.25">
      <c r="P845" s="24">
        <f t="shared" si="14"/>
        <v>0</v>
      </c>
    </row>
    <row r="846" spans="16:16" x14ac:dyDescent="0.25">
      <c r="P846" s="24">
        <f t="shared" si="14"/>
        <v>0</v>
      </c>
    </row>
    <row r="847" spans="16:16" x14ac:dyDescent="0.25">
      <c r="P847" s="24">
        <f t="shared" si="14"/>
        <v>0</v>
      </c>
    </row>
    <row r="848" spans="16:16" x14ac:dyDescent="0.25">
      <c r="P848" s="24">
        <f t="shared" si="14"/>
        <v>0</v>
      </c>
    </row>
    <row r="849" spans="16:16" x14ac:dyDescent="0.25">
      <c r="P849" s="24">
        <f t="shared" si="14"/>
        <v>0</v>
      </c>
    </row>
    <row r="850" spans="16:16" x14ac:dyDescent="0.25">
      <c r="P850" s="24">
        <f t="shared" si="14"/>
        <v>0</v>
      </c>
    </row>
    <row r="851" spans="16:16" x14ac:dyDescent="0.25">
      <c r="P851" s="24">
        <f t="shared" si="14"/>
        <v>0</v>
      </c>
    </row>
    <row r="852" spans="16:16" x14ac:dyDescent="0.25">
      <c r="P852" s="24">
        <f t="shared" si="14"/>
        <v>0</v>
      </c>
    </row>
    <row r="853" spans="16:16" x14ac:dyDescent="0.25">
      <c r="P853" s="24">
        <f t="shared" si="14"/>
        <v>0</v>
      </c>
    </row>
    <row r="854" spans="16:16" x14ac:dyDescent="0.25">
      <c r="P854" s="24">
        <f t="shared" si="14"/>
        <v>0</v>
      </c>
    </row>
    <row r="855" spans="16:16" x14ac:dyDescent="0.25">
      <c r="P855" s="24">
        <f t="shared" si="14"/>
        <v>0</v>
      </c>
    </row>
    <row r="856" spans="16:16" x14ac:dyDescent="0.25">
      <c r="P856" s="24">
        <f t="shared" si="14"/>
        <v>0</v>
      </c>
    </row>
    <row r="857" spans="16:16" x14ac:dyDescent="0.25">
      <c r="P857" s="24">
        <f t="shared" si="14"/>
        <v>0</v>
      </c>
    </row>
    <row r="858" spans="16:16" x14ac:dyDescent="0.25">
      <c r="P858" s="24">
        <f t="shared" si="14"/>
        <v>0</v>
      </c>
    </row>
    <row r="859" spans="16:16" x14ac:dyDescent="0.25">
      <c r="P859" s="24">
        <f t="shared" si="14"/>
        <v>0</v>
      </c>
    </row>
    <row r="860" spans="16:16" x14ac:dyDescent="0.25">
      <c r="P860" s="24">
        <f t="shared" si="14"/>
        <v>0</v>
      </c>
    </row>
    <row r="861" spans="16:16" x14ac:dyDescent="0.25">
      <c r="P861" s="24">
        <f t="shared" si="14"/>
        <v>0</v>
      </c>
    </row>
    <row r="862" spans="16:16" x14ac:dyDescent="0.25">
      <c r="P862" s="24">
        <f t="shared" si="14"/>
        <v>0</v>
      </c>
    </row>
    <row r="863" spans="16:16" x14ac:dyDescent="0.25">
      <c r="P863" s="24">
        <f t="shared" si="14"/>
        <v>0</v>
      </c>
    </row>
    <row r="864" spans="16:16" x14ac:dyDescent="0.25">
      <c r="P864" s="24">
        <f t="shared" si="14"/>
        <v>0</v>
      </c>
    </row>
    <row r="865" spans="16:16" x14ac:dyDescent="0.25">
      <c r="P865" s="24">
        <f t="shared" si="14"/>
        <v>0</v>
      </c>
    </row>
    <row r="866" spans="16:16" x14ac:dyDescent="0.25">
      <c r="P866" s="24">
        <f t="shared" si="14"/>
        <v>0</v>
      </c>
    </row>
    <row r="867" spans="16:16" x14ac:dyDescent="0.25">
      <c r="P867" s="24">
        <f t="shared" si="14"/>
        <v>0</v>
      </c>
    </row>
    <row r="868" spans="16:16" x14ac:dyDescent="0.25">
      <c r="P868" s="24">
        <f t="shared" si="14"/>
        <v>0</v>
      </c>
    </row>
    <row r="869" spans="16:16" x14ac:dyDescent="0.25">
      <c r="P869" s="24">
        <f t="shared" si="14"/>
        <v>0</v>
      </c>
    </row>
    <row r="870" spans="16:16" x14ac:dyDescent="0.25">
      <c r="P870" s="24">
        <f t="shared" si="14"/>
        <v>0</v>
      </c>
    </row>
    <row r="871" spans="16:16" x14ac:dyDescent="0.25">
      <c r="P871" s="24">
        <f t="shared" si="14"/>
        <v>0</v>
      </c>
    </row>
    <row r="872" spans="16:16" x14ac:dyDescent="0.25">
      <c r="P872" s="24">
        <f t="shared" si="14"/>
        <v>0</v>
      </c>
    </row>
    <row r="873" spans="16:16" x14ac:dyDescent="0.25">
      <c r="P873" s="24">
        <f t="shared" si="14"/>
        <v>0</v>
      </c>
    </row>
    <row r="874" spans="16:16" x14ac:dyDescent="0.25">
      <c r="P874" s="24">
        <f t="shared" ref="P874:P937" si="15">H874-G874</f>
        <v>0</v>
      </c>
    </row>
    <row r="875" spans="16:16" x14ac:dyDescent="0.25">
      <c r="P875" s="24">
        <f t="shared" si="15"/>
        <v>0</v>
      </c>
    </row>
    <row r="876" spans="16:16" x14ac:dyDescent="0.25">
      <c r="P876" s="24">
        <f t="shared" si="15"/>
        <v>0</v>
      </c>
    </row>
    <row r="877" spans="16:16" x14ac:dyDescent="0.25">
      <c r="P877" s="24">
        <f t="shared" si="15"/>
        <v>0</v>
      </c>
    </row>
    <row r="878" spans="16:16" x14ac:dyDescent="0.25">
      <c r="P878" s="24">
        <f t="shared" si="15"/>
        <v>0</v>
      </c>
    </row>
    <row r="879" spans="16:16" x14ac:dyDescent="0.25">
      <c r="P879" s="24">
        <f t="shared" si="15"/>
        <v>0</v>
      </c>
    </row>
    <row r="880" spans="16:16" x14ac:dyDescent="0.25">
      <c r="P880" s="24">
        <f t="shared" si="15"/>
        <v>0</v>
      </c>
    </row>
    <row r="881" spans="16:16" x14ac:dyDescent="0.25">
      <c r="P881" s="24">
        <f t="shared" si="15"/>
        <v>0</v>
      </c>
    </row>
    <row r="882" spans="16:16" x14ac:dyDescent="0.25">
      <c r="P882" s="24">
        <f t="shared" si="15"/>
        <v>0</v>
      </c>
    </row>
    <row r="883" spans="16:16" x14ac:dyDescent="0.25">
      <c r="P883" s="24">
        <f t="shared" si="15"/>
        <v>0</v>
      </c>
    </row>
    <row r="884" spans="16:16" x14ac:dyDescent="0.25">
      <c r="P884" s="24">
        <f t="shared" si="15"/>
        <v>0</v>
      </c>
    </row>
    <row r="885" spans="16:16" x14ac:dyDescent="0.25">
      <c r="P885" s="24">
        <f t="shared" si="15"/>
        <v>0</v>
      </c>
    </row>
    <row r="886" spans="16:16" x14ac:dyDescent="0.25">
      <c r="P886" s="24">
        <f t="shared" si="15"/>
        <v>0</v>
      </c>
    </row>
    <row r="887" spans="16:16" x14ac:dyDescent="0.25">
      <c r="P887" s="24">
        <f t="shared" si="15"/>
        <v>0</v>
      </c>
    </row>
    <row r="888" spans="16:16" x14ac:dyDescent="0.25">
      <c r="P888" s="24">
        <f t="shared" si="15"/>
        <v>0</v>
      </c>
    </row>
    <row r="889" spans="16:16" x14ac:dyDescent="0.25">
      <c r="P889" s="24">
        <f t="shared" si="15"/>
        <v>0</v>
      </c>
    </row>
    <row r="890" spans="16:16" x14ac:dyDescent="0.25">
      <c r="P890" s="24">
        <f t="shared" si="15"/>
        <v>0</v>
      </c>
    </row>
    <row r="891" spans="16:16" x14ac:dyDescent="0.25">
      <c r="P891" s="24">
        <f t="shared" si="15"/>
        <v>0</v>
      </c>
    </row>
    <row r="892" spans="16:16" x14ac:dyDescent="0.25">
      <c r="P892" s="24">
        <f t="shared" si="15"/>
        <v>0</v>
      </c>
    </row>
    <row r="893" spans="16:16" x14ac:dyDescent="0.25">
      <c r="P893" s="24">
        <f t="shared" si="15"/>
        <v>0</v>
      </c>
    </row>
    <row r="894" spans="16:16" x14ac:dyDescent="0.25">
      <c r="P894" s="24">
        <f t="shared" si="15"/>
        <v>0</v>
      </c>
    </row>
    <row r="895" spans="16:16" x14ac:dyDescent="0.25">
      <c r="P895" s="24">
        <f t="shared" si="15"/>
        <v>0</v>
      </c>
    </row>
    <row r="896" spans="16:16" x14ac:dyDescent="0.25">
      <c r="P896" s="24">
        <f t="shared" si="15"/>
        <v>0</v>
      </c>
    </row>
    <row r="897" spans="16:16" x14ac:dyDescent="0.25">
      <c r="P897" s="24">
        <f t="shared" si="15"/>
        <v>0</v>
      </c>
    </row>
    <row r="898" spans="16:16" x14ac:dyDescent="0.25">
      <c r="P898" s="24">
        <f t="shared" si="15"/>
        <v>0</v>
      </c>
    </row>
    <row r="899" spans="16:16" x14ac:dyDescent="0.25">
      <c r="P899" s="24">
        <f t="shared" si="15"/>
        <v>0</v>
      </c>
    </row>
    <row r="900" spans="16:16" x14ac:dyDescent="0.25">
      <c r="P900" s="24">
        <f t="shared" si="15"/>
        <v>0</v>
      </c>
    </row>
    <row r="901" spans="16:16" x14ac:dyDescent="0.25">
      <c r="P901" s="24">
        <f t="shared" si="15"/>
        <v>0</v>
      </c>
    </row>
    <row r="902" spans="16:16" x14ac:dyDescent="0.25">
      <c r="P902" s="24">
        <f t="shared" si="15"/>
        <v>0</v>
      </c>
    </row>
    <row r="903" spans="16:16" x14ac:dyDescent="0.25">
      <c r="P903" s="24">
        <f t="shared" si="15"/>
        <v>0</v>
      </c>
    </row>
    <row r="904" spans="16:16" x14ac:dyDescent="0.25">
      <c r="P904" s="24">
        <f t="shared" si="15"/>
        <v>0</v>
      </c>
    </row>
    <row r="905" spans="16:16" x14ac:dyDescent="0.25">
      <c r="P905" s="24">
        <f t="shared" si="15"/>
        <v>0</v>
      </c>
    </row>
    <row r="906" spans="16:16" x14ac:dyDescent="0.25">
      <c r="P906" s="24">
        <f t="shared" si="15"/>
        <v>0</v>
      </c>
    </row>
    <row r="907" spans="16:16" x14ac:dyDescent="0.25">
      <c r="P907" s="24">
        <f t="shared" si="15"/>
        <v>0</v>
      </c>
    </row>
    <row r="908" spans="16:16" x14ac:dyDescent="0.25">
      <c r="P908" s="24">
        <f t="shared" si="15"/>
        <v>0</v>
      </c>
    </row>
    <row r="909" spans="16:16" x14ac:dyDescent="0.25">
      <c r="P909" s="24">
        <f t="shared" si="15"/>
        <v>0</v>
      </c>
    </row>
    <row r="910" spans="16:16" x14ac:dyDescent="0.25">
      <c r="P910" s="24">
        <f t="shared" si="15"/>
        <v>0</v>
      </c>
    </row>
    <row r="911" spans="16:16" x14ac:dyDescent="0.25">
      <c r="P911" s="24">
        <f t="shared" si="15"/>
        <v>0</v>
      </c>
    </row>
    <row r="912" spans="16:16" x14ac:dyDescent="0.25">
      <c r="P912" s="24">
        <f t="shared" si="15"/>
        <v>0</v>
      </c>
    </row>
    <row r="913" spans="16:16" x14ac:dyDescent="0.25">
      <c r="P913" s="24">
        <f t="shared" si="15"/>
        <v>0</v>
      </c>
    </row>
    <row r="914" spans="16:16" x14ac:dyDescent="0.25">
      <c r="P914" s="24">
        <f t="shared" si="15"/>
        <v>0</v>
      </c>
    </row>
    <row r="915" spans="16:16" x14ac:dyDescent="0.25">
      <c r="P915" s="24">
        <f t="shared" si="15"/>
        <v>0</v>
      </c>
    </row>
    <row r="916" spans="16:16" x14ac:dyDescent="0.25">
      <c r="P916" s="24">
        <f t="shared" si="15"/>
        <v>0</v>
      </c>
    </row>
    <row r="917" spans="16:16" x14ac:dyDescent="0.25">
      <c r="P917" s="24">
        <f t="shared" si="15"/>
        <v>0</v>
      </c>
    </row>
    <row r="918" spans="16:16" x14ac:dyDescent="0.25">
      <c r="P918" s="24">
        <f t="shared" si="15"/>
        <v>0</v>
      </c>
    </row>
    <row r="919" spans="16:16" x14ac:dyDescent="0.25">
      <c r="P919" s="24">
        <f t="shared" si="15"/>
        <v>0</v>
      </c>
    </row>
    <row r="920" spans="16:16" x14ac:dyDescent="0.25">
      <c r="P920" s="24">
        <f t="shared" si="15"/>
        <v>0</v>
      </c>
    </row>
    <row r="921" spans="16:16" x14ac:dyDescent="0.25">
      <c r="P921" s="24">
        <f t="shared" si="15"/>
        <v>0</v>
      </c>
    </row>
    <row r="922" spans="16:16" x14ac:dyDescent="0.25">
      <c r="P922" s="24">
        <f t="shared" si="15"/>
        <v>0</v>
      </c>
    </row>
    <row r="923" spans="16:16" x14ac:dyDescent="0.25">
      <c r="P923" s="24">
        <f t="shared" si="15"/>
        <v>0</v>
      </c>
    </row>
    <row r="924" spans="16:16" x14ac:dyDescent="0.25">
      <c r="P924" s="24">
        <f t="shared" si="15"/>
        <v>0</v>
      </c>
    </row>
    <row r="925" spans="16:16" x14ac:dyDescent="0.25">
      <c r="P925" s="24">
        <f t="shared" si="15"/>
        <v>0</v>
      </c>
    </row>
    <row r="926" spans="16:16" x14ac:dyDescent="0.25">
      <c r="P926" s="24">
        <f t="shared" si="15"/>
        <v>0</v>
      </c>
    </row>
    <row r="927" spans="16:16" x14ac:dyDescent="0.25">
      <c r="P927" s="24">
        <f t="shared" si="15"/>
        <v>0</v>
      </c>
    </row>
    <row r="928" spans="16:16" x14ac:dyDescent="0.25">
      <c r="P928" s="24">
        <f t="shared" si="15"/>
        <v>0</v>
      </c>
    </row>
    <row r="929" spans="16:16" x14ac:dyDescent="0.25">
      <c r="P929" s="24">
        <f t="shared" si="15"/>
        <v>0</v>
      </c>
    </row>
    <row r="930" spans="16:16" x14ac:dyDescent="0.25">
      <c r="P930" s="24">
        <f t="shared" si="15"/>
        <v>0</v>
      </c>
    </row>
    <row r="931" spans="16:16" x14ac:dyDescent="0.25">
      <c r="P931" s="24">
        <f t="shared" si="15"/>
        <v>0</v>
      </c>
    </row>
    <row r="932" spans="16:16" x14ac:dyDescent="0.25">
      <c r="P932" s="24">
        <f t="shared" si="15"/>
        <v>0</v>
      </c>
    </row>
    <row r="933" spans="16:16" x14ac:dyDescent="0.25">
      <c r="P933" s="24">
        <f t="shared" si="15"/>
        <v>0</v>
      </c>
    </row>
    <row r="934" spans="16:16" x14ac:dyDescent="0.25">
      <c r="P934" s="24">
        <f t="shared" si="15"/>
        <v>0</v>
      </c>
    </row>
    <row r="935" spans="16:16" x14ac:dyDescent="0.25">
      <c r="P935" s="24">
        <f t="shared" si="15"/>
        <v>0</v>
      </c>
    </row>
    <row r="936" spans="16:16" x14ac:dyDescent="0.25">
      <c r="P936" s="24">
        <f t="shared" si="15"/>
        <v>0</v>
      </c>
    </row>
    <row r="937" spans="16:16" x14ac:dyDescent="0.25">
      <c r="P937" s="24">
        <f t="shared" si="15"/>
        <v>0</v>
      </c>
    </row>
    <row r="938" spans="16:16" x14ac:dyDescent="0.25">
      <c r="P938" s="24">
        <f t="shared" ref="P938:P1001" si="16">H938-G938</f>
        <v>0</v>
      </c>
    </row>
    <row r="939" spans="16:16" x14ac:dyDescent="0.25">
      <c r="P939" s="24">
        <f t="shared" si="16"/>
        <v>0</v>
      </c>
    </row>
    <row r="940" spans="16:16" x14ac:dyDescent="0.25">
      <c r="P940" s="24">
        <f t="shared" si="16"/>
        <v>0</v>
      </c>
    </row>
    <row r="941" spans="16:16" x14ac:dyDescent="0.25">
      <c r="P941" s="24">
        <f t="shared" si="16"/>
        <v>0</v>
      </c>
    </row>
    <row r="942" spans="16:16" x14ac:dyDescent="0.25">
      <c r="P942" s="24">
        <f t="shared" si="16"/>
        <v>0</v>
      </c>
    </row>
    <row r="943" spans="16:16" x14ac:dyDescent="0.25">
      <c r="P943" s="24">
        <f t="shared" si="16"/>
        <v>0</v>
      </c>
    </row>
    <row r="944" spans="16:16" x14ac:dyDescent="0.25">
      <c r="P944" s="24">
        <f t="shared" si="16"/>
        <v>0</v>
      </c>
    </row>
    <row r="945" spans="16:16" x14ac:dyDescent="0.25">
      <c r="P945" s="24">
        <f t="shared" si="16"/>
        <v>0</v>
      </c>
    </row>
    <row r="946" spans="16:16" x14ac:dyDescent="0.25">
      <c r="P946" s="24">
        <f t="shared" si="16"/>
        <v>0</v>
      </c>
    </row>
    <row r="947" spans="16:16" x14ac:dyDescent="0.25">
      <c r="P947" s="24">
        <f t="shared" si="16"/>
        <v>0</v>
      </c>
    </row>
    <row r="948" spans="16:16" x14ac:dyDescent="0.25">
      <c r="P948" s="24">
        <f t="shared" si="16"/>
        <v>0</v>
      </c>
    </row>
    <row r="949" spans="16:16" x14ac:dyDescent="0.25">
      <c r="P949" s="24">
        <f t="shared" si="16"/>
        <v>0</v>
      </c>
    </row>
    <row r="950" spans="16:16" x14ac:dyDescent="0.25">
      <c r="P950" s="24">
        <f t="shared" si="16"/>
        <v>0</v>
      </c>
    </row>
    <row r="951" spans="16:16" x14ac:dyDescent="0.25">
      <c r="P951" s="24">
        <f t="shared" si="16"/>
        <v>0</v>
      </c>
    </row>
    <row r="952" spans="16:16" x14ac:dyDescent="0.25">
      <c r="P952" s="24">
        <f t="shared" si="16"/>
        <v>0</v>
      </c>
    </row>
    <row r="953" spans="16:16" x14ac:dyDescent="0.25">
      <c r="P953" s="24">
        <f t="shared" si="16"/>
        <v>0</v>
      </c>
    </row>
    <row r="954" spans="16:16" x14ac:dyDescent="0.25">
      <c r="P954" s="24">
        <f t="shared" si="16"/>
        <v>0</v>
      </c>
    </row>
    <row r="955" spans="16:16" x14ac:dyDescent="0.25">
      <c r="P955" s="24">
        <f t="shared" si="16"/>
        <v>0</v>
      </c>
    </row>
    <row r="956" spans="16:16" x14ac:dyDescent="0.25">
      <c r="P956" s="24">
        <f t="shared" si="16"/>
        <v>0</v>
      </c>
    </row>
    <row r="957" spans="16:16" x14ac:dyDescent="0.25">
      <c r="P957" s="24">
        <f t="shared" si="16"/>
        <v>0</v>
      </c>
    </row>
    <row r="958" spans="16:16" x14ac:dyDescent="0.25">
      <c r="P958" s="24">
        <f t="shared" si="16"/>
        <v>0</v>
      </c>
    </row>
    <row r="959" spans="16:16" x14ac:dyDescent="0.25">
      <c r="P959" s="24">
        <f t="shared" si="16"/>
        <v>0</v>
      </c>
    </row>
    <row r="960" spans="16:16" x14ac:dyDescent="0.25">
      <c r="P960" s="24">
        <f t="shared" si="16"/>
        <v>0</v>
      </c>
    </row>
    <row r="961" spans="16:16" x14ac:dyDescent="0.25">
      <c r="P961" s="24">
        <f t="shared" si="16"/>
        <v>0</v>
      </c>
    </row>
    <row r="962" spans="16:16" x14ac:dyDescent="0.25">
      <c r="P962" s="24">
        <f t="shared" si="16"/>
        <v>0</v>
      </c>
    </row>
    <row r="963" spans="16:16" x14ac:dyDescent="0.25">
      <c r="P963" s="24">
        <f t="shared" si="16"/>
        <v>0</v>
      </c>
    </row>
    <row r="964" spans="16:16" x14ac:dyDescent="0.25">
      <c r="P964" s="24">
        <f t="shared" si="16"/>
        <v>0</v>
      </c>
    </row>
    <row r="965" spans="16:16" x14ac:dyDescent="0.25">
      <c r="P965" s="24">
        <f t="shared" si="16"/>
        <v>0</v>
      </c>
    </row>
    <row r="966" spans="16:16" x14ac:dyDescent="0.25">
      <c r="P966" s="24">
        <f t="shared" si="16"/>
        <v>0</v>
      </c>
    </row>
    <row r="967" spans="16:16" x14ac:dyDescent="0.25">
      <c r="P967" s="24">
        <f t="shared" si="16"/>
        <v>0</v>
      </c>
    </row>
    <row r="968" spans="16:16" x14ac:dyDescent="0.25">
      <c r="P968" s="24">
        <f t="shared" si="16"/>
        <v>0</v>
      </c>
    </row>
    <row r="969" spans="16:16" x14ac:dyDescent="0.25">
      <c r="P969" s="24">
        <f t="shared" si="16"/>
        <v>0</v>
      </c>
    </row>
    <row r="970" spans="16:16" x14ac:dyDescent="0.25">
      <c r="P970" s="24">
        <f t="shared" si="16"/>
        <v>0</v>
      </c>
    </row>
    <row r="971" spans="16:16" x14ac:dyDescent="0.25">
      <c r="P971" s="24">
        <f t="shared" si="16"/>
        <v>0</v>
      </c>
    </row>
    <row r="972" spans="16:16" x14ac:dyDescent="0.25">
      <c r="P972" s="24">
        <f t="shared" si="16"/>
        <v>0</v>
      </c>
    </row>
    <row r="973" spans="16:16" x14ac:dyDescent="0.25">
      <c r="P973" s="24">
        <f t="shared" si="16"/>
        <v>0</v>
      </c>
    </row>
    <row r="974" spans="16:16" x14ac:dyDescent="0.25">
      <c r="P974" s="24">
        <f t="shared" si="16"/>
        <v>0</v>
      </c>
    </row>
    <row r="975" spans="16:16" x14ac:dyDescent="0.25">
      <c r="P975" s="24">
        <f t="shared" si="16"/>
        <v>0</v>
      </c>
    </row>
    <row r="976" spans="16:16" x14ac:dyDescent="0.25">
      <c r="P976" s="24">
        <f t="shared" si="16"/>
        <v>0</v>
      </c>
    </row>
    <row r="977" spans="16:16" x14ac:dyDescent="0.25">
      <c r="P977" s="24">
        <f t="shared" si="16"/>
        <v>0</v>
      </c>
    </row>
    <row r="978" spans="16:16" x14ac:dyDescent="0.25">
      <c r="P978" s="24">
        <f t="shared" si="16"/>
        <v>0</v>
      </c>
    </row>
    <row r="979" spans="16:16" x14ac:dyDescent="0.25">
      <c r="P979" s="24">
        <f t="shared" si="16"/>
        <v>0</v>
      </c>
    </row>
    <row r="980" spans="16:16" x14ac:dyDescent="0.25">
      <c r="P980" s="24">
        <f t="shared" si="16"/>
        <v>0</v>
      </c>
    </row>
    <row r="981" spans="16:16" x14ac:dyDescent="0.25">
      <c r="P981" s="24">
        <f t="shared" si="16"/>
        <v>0</v>
      </c>
    </row>
    <row r="982" spans="16:16" x14ac:dyDescent="0.25">
      <c r="P982" s="24">
        <f t="shared" si="16"/>
        <v>0</v>
      </c>
    </row>
    <row r="983" spans="16:16" x14ac:dyDescent="0.25">
      <c r="P983" s="24">
        <f t="shared" si="16"/>
        <v>0</v>
      </c>
    </row>
    <row r="984" spans="16:16" x14ac:dyDescent="0.25">
      <c r="P984" s="24">
        <f t="shared" si="16"/>
        <v>0</v>
      </c>
    </row>
    <row r="985" spans="16:16" x14ac:dyDescent="0.25">
      <c r="P985" s="24">
        <f t="shared" si="16"/>
        <v>0</v>
      </c>
    </row>
    <row r="986" spans="16:16" x14ac:dyDescent="0.25">
      <c r="P986" s="24">
        <f t="shared" si="16"/>
        <v>0</v>
      </c>
    </row>
    <row r="987" spans="16:16" x14ac:dyDescent="0.25">
      <c r="P987" s="24">
        <f t="shared" si="16"/>
        <v>0</v>
      </c>
    </row>
    <row r="988" spans="16:16" x14ac:dyDescent="0.25">
      <c r="P988" s="24">
        <f t="shared" si="16"/>
        <v>0</v>
      </c>
    </row>
    <row r="989" spans="16:16" x14ac:dyDescent="0.25">
      <c r="P989" s="24">
        <f t="shared" si="16"/>
        <v>0</v>
      </c>
    </row>
    <row r="990" spans="16:16" x14ac:dyDescent="0.25">
      <c r="P990" s="24">
        <f t="shared" si="16"/>
        <v>0</v>
      </c>
    </row>
    <row r="991" spans="16:16" x14ac:dyDescent="0.25">
      <c r="P991" s="24">
        <f t="shared" si="16"/>
        <v>0</v>
      </c>
    </row>
    <row r="992" spans="16:16" x14ac:dyDescent="0.25">
      <c r="P992" s="24">
        <f t="shared" si="16"/>
        <v>0</v>
      </c>
    </row>
    <row r="993" spans="16:16" x14ac:dyDescent="0.25">
      <c r="P993" s="24">
        <f t="shared" si="16"/>
        <v>0</v>
      </c>
    </row>
    <row r="994" spans="16:16" x14ac:dyDescent="0.25">
      <c r="P994" s="24">
        <f t="shared" si="16"/>
        <v>0</v>
      </c>
    </row>
    <row r="995" spans="16:16" x14ac:dyDescent="0.25">
      <c r="P995" s="24">
        <f t="shared" si="16"/>
        <v>0</v>
      </c>
    </row>
    <row r="996" spans="16:16" x14ac:dyDescent="0.25">
      <c r="P996" s="24">
        <f t="shared" si="16"/>
        <v>0</v>
      </c>
    </row>
    <row r="997" spans="16:16" x14ac:dyDescent="0.25">
      <c r="P997" s="24">
        <f t="shared" si="16"/>
        <v>0</v>
      </c>
    </row>
    <row r="998" spans="16:16" x14ac:dyDescent="0.25">
      <c r="P998" s="24">
        <f t="shared" si="16"/>
        <v>0</v>
      </c>
    </row>
    <row r="999" spans="16:16" x14ac:dyDescent="0.25">
      <c r="P999" s="24">
        <f t="shared" si="16"/>
        <v>0</v>
      </c>
    </row>
    <row r="1000" spans="16:16" x14ac:dyDescent="0.25">
      <c r="P1000" s="24">
        <f t="shared" si="16"/>
        <v>0</v>
      </c>
    </row>
    <row r="1001" spans="16:16" x14ac:dyDescent="0.25">
      <c r="P1001" s="24">
        <f t="shared" si="16"/>
        <v>0</v>
      </c>
    </row>
    <row r="1002" spans="16:16" x14ac:dyDescent="0.25">
      <c r="P1002" s="24">
        <f t="shared" ref="P1002:P1065" si="17">H1002-G1002</f>
        <v>0</v>
      </c>
    </row>
    <row r="1003" spans="16:16" x14ac:dyDescent="0.25">
      <c r="P1003" s="24">
        <f t="shared" si="17"/>
        <v>0</v>
      </c>
    </row>
    <row r="1004" spans="16:16" x14ac:dyDescent="0.25">
      <c r="P1004" s="24">
        <f t="shared" si="17"/>
        <v>0</v>
      </c>
    </row>
    <row r="1005" spans="16:16" x14ac:dyDescent="0.25">
      <c r="P1005" s="24">
        <f t="shared" si="17"/>
        <v>0</v>
      </c>
    </row>
    <row r="1006" spans="16:16" x14ac:dyDescent="0.25">
      <c r="P1006" s="24">
        <f t="shared" si="17"/>
        <v>0</v>
      </c>
    </row>
    <row r="1007" spans="16:16" x14ac:dyDescent="0.25">
      <c r="P1007" s="24">
        <f t="shared" si="17"/>
        <v>0</v>
      </c>
    </row>
    <row r="1008" spans="16:16" x14ac:dyDescent="0.25">
      <c r="P1008" s="24">
        <f t="shared" si="17"/>
        <v>0</v>
      </c>
    </row>
    <row r="1009" spans="16:16" x14ac:dyDescent="0.25">
      <c r="P1009" s="24">
        <f t="shared" si="17"/>
        <v>0</v>
      </c>
    </row>
    <row r="1010" spans="16:16" x14ac:dyDescent="0.25">
      <c r="P1010" s="24">
        <f t="shared" si="17"/>
        <v>0</v>
      </c>
    </row>
    <row r="1011" spans="16:16" x14ac:dyDescent="0.25">
      <c r="P1011" s="24">
        <f t="shared" si="17"/>
        <v>0</v>
      </c>
    </row>
    <row r="1012" spans="16:16" x14ac:dyDescent="0.25">
      <c r="P1012" s="24">
        <f t="shared" si="17"/>
        <v>0</v>
      </c>
    </row>
    <row r="1013" spans="16:16" x14ac:dyDescent="0.25">
      <c r="P1013" s="24">
        <f t="shared" si="17"/>
        <v>0</v>
      </c>
    </row>
    <row r="1014" spans="16:16" x14ac:dyDescent="0.25">
      <c r="P1014" s="24">
        <f t="shared" si="17"/>
        <v>0</v>
      </c>
    </row>
    <row r="1015" spans="16:16" x14ac:dyDescent="0.25">
      <c r="P1015" s="24">
        <f t="shared" si="17"/>
        <v>0</v>
      </c>
    </row>
    <row r="1016" spans="16:16" x14ac:dyDescent="0.25">
      <c r="P1016" s="24">
        <f t="shared" si="17"/>
        <v>0</v>
      </c>
    </row>
    <row r="1017" spans="16:16" x14ac:dyDescent="0.25">
      <c r="P1017" s="24">
        <f t="shared" si="17"/>
        <v>0</v>
      </c>
    </row>
    <row r="1018" spans="16:16" x14ac:dyDescent="0.25">
      <c r="P1018" s="24">
        <f t="shared" si="17"/>
        <v>0</v>
      </c>
    </row>
    <row r="1019" spans="16:16" x14ac:dyDescent="0.25">
      <c r="P1019" s="24">
        <f t="shared" si="17"/>
        <v>0</v>
      </c>
    </row>
    <row r="1020" spans="16:16" x14ac:dyDescent="0.25">
      <c r="P1020" s="24">
        <f t="shared" si="17"/>
        <v>0</v>
      </c>
    </row>
    <row r="1021" spans="16:16" x14ac:dyDescent="0.25">
      <c r="P1021" s="24">
        <f t="shared" si="17"/>
        <v>0</v>
      </c>
    </row>
    <row r="1022" spans="16:16" x14ac:dyDescent="0.25">
      <c r="P1022" s="24">
        <f t="shared" si="17"/>
        <v>0</v>
      </c>
    </row>
    <row r="1023" spans="16:16" x14ac:dyDescent="0.25">
      <c r="P1023" s="24">
        <f t="shared" si="17"/>
        <v>0</v>
      </c>
    </row>
    <row r="1024" spans="16:16" x14ac:dyDescent="0.25">
      <c r="P1024" s="24">
        <f t="shared" si="17"/>
        <v>0</v>
      </c>
    </row>
    <row r="1025" spans="16:16" x14ac:dyDescent="0.25">
      <c r="P1025" s="24">
        <f t="shared" si="17"/>
        <v>0</v>
      </c>
    </row>
    <row r="1026" spans="16:16" x14ac:dyDescent="0.25">
      <c r="P1026" s="24">
        <f t="shared" si="17"/>
        <v>0</v>
      </c>
    </row>
    <row r="1027" spans="16:16" x14ac:dyDescent="0.25">
      <c r="P1027" s="24">
        <f t="shared" si="17"/>
        <v>0</v>
      </c>
    </row>
    <row r="1028" spans="16:16" x14ac:dyDescent="0.25">
      <c r="P1028" s="24">
        <f t="shared" si="17"/>
        <v>0</v>
      </c>
    </row>
    <row r="1029" spans="16:16" x14ac:dyDescent="0.25">
      <c r="P1029" s="24">
        <f t="shared" si="17"/>
        <v>0</v>
      </c>
    </row>
    <row r="1030" spans="16:16" x14ac:dyDescent="0.25">
      <c r="P1030" s="24">
        <f t="shared" si="17"/>
        <v>0</v>
      </c>
    </row>
    <row r="1031" spans="16:16" x14ac:dyDescent="0.25">
      <c r="P1031" s="24">
        <f t="shared" si="17"/>
        <v>0</v>
      </c>
    </row>
    <row r="1032" spans="16:16" x14ac:dyDescent="0.25">
      <c r="P1032" s="24">
        <f t="shared" si="17"/>
        <v>0</v>
      </c>
    </row>
    <row r="1033" spans="16:16" x14ac:dyDescent="0.25">
      <c r="P1033" s="24">
        <f t="shared" si="17"/>
        <v>0</v>
      </c>
    </row>
    <row r="1034" spans="16:16" x14ac:dyDescent="0.25">
      <c r="P1034" s="24">
        <f t="shared" si="17"/>
        <v>0</v>
      </c>
    </row>
    <row r="1035" spans="16:16" x14ac:dyDescent="0.25">
      <c r="P1035" s="24">
        <f t="shared" si="17"/>
        <v>0</v>
      </c>
    </row>
    <row r="1036" spans="16:16" x14ac:dyDescent="0.25">
      <c r="P1036" s="24">
        <f t="shared" si="17"/>
        <v>0</v>
      </c>
    </row>
    <row r="1037" spans="16:16" x14ac:dyDescent="0.25">
      <c r="P1037" s="24">
        <f t="shared" si="17"/>
        <v>0</v>
      </c>
    </row>
    <row r="1038" spans="16:16" x14ac:dyDescent="0.25">
      <c r="P1038" s="24">
        <f t="shared" si="17"/>
        <v>0</v>
      </c>
    </row>
    <row r="1039" spans="16:16" x14ac:dyDescent="0.25">
      <c r="P1039" s="24">
        <f t="shared" si="17"/>
        <v>0</v>
      </c>
    </row>
    <row r="1040" spans="16:16" x14ac:dyDescent="0.25">
      <c r="P1040" s="24">
        <f t="shared" si="17"/>
        <v>0</v>
      </c>
    </row>
    <row r="1041" spans="16:16" x14ac:dyDescent="0.25">
      <c r="P1041" s="24">
        <f t="shared" si="17"/>
        <v>0</v>
      </c>
    </row>
    <row r="1042" spans="16:16" x14ac:dyDescent="0.25">
      <c r="P1042" s="24">
        <f t="shared" si="17"/>
        <v>0</v>
      </c>
    </row>
    <row r="1043" spans="16:16" x14ac:dyDescent="0.25">
      <c r="P1043" s="24">
        <f t="shared" si="17"/>
        <v>0</v>
      </c>
    </row>
    <row r="1044" spans="16:16" x14ac:dyDescent="0.25">
      <c r="P1044" s="24">
        <f t="shared" si="17"/>
        <v>0</v>
      </c>
    </row>
    <row r="1045" spans="16:16" x14ac:dyDescent="0.25">
      <c r="P1045" s="24">
        <f t="shared" si="17"/>
        <v>0</v>
      </c>
    </row>
    <row r="1046" spans="16:16" x14ac:dyDescent="0.25">
      <c r="P1046" s="24">
        <f t="shared" si="17"/>
        <v>0</v>
      </c>
    </row>
    <row r="1047" spans="16:16" x14ac:dyDescent="0.25">
      <c r="P1047" s="24">
        <f t="shared" si="17"/>
        <v>0</v>
      </c>
    </row>
    <row r="1048" spans="16:16" x14ac:dyDescent="0.25">
      <c r="P1048" s="24">
        <f t="shared" si="17"/>
        <v>0</v>
      </c>
    </row>
    <row r="1049" spans="16:16" x14ac:dyDescent="0.25">
      <c r="P1049" s="24">
        <f t="shared" si="17"/>
        <v>0</v>
      </c>
    </row>
    <row r="1050" spans="16:16" x14ac:dyDescent="0.25">
      <c r="P1050" s="24">
        <f t="shared" si="17"/>
        <v>0</v>
      </c>
    </row>
    <row r="1051" spans="16:16" x14ac:dyDescent="0.25">
      <c r="P1051" s="24">
        <f t="shared" si="17"/>
        <v>0</v>
      </c>
    </row>
    <row r="1052" spans="16:16" x14ac:dyDescent="0.25">
      <c r="P1052" s="24">
        <f t="shared" si="17"/>
        <v>0</v>
      </c>
    </row>
    <row r="1053" spans="16:16" x14ac:dyDescent="0.25">
      <c r="P1053" s="24">
        <f t="shared" si="17"/>
        <v>0</v>
      </c>
    </row>
    <row r="1054" spans="16:16" x14ac:dyDescent="0.25">
      <c r="P1054" s="24">
        <f t="shared" si="17"/>
        <v>0</v>
      </c>
    </row>
    <row r="1055" spans="16:16" x14ac:dyDescent="0.25">
      <c r="P1055" s="24">
        <f t="shared" si="17"/>
        <v>0</v>
      </c>
    </row>
    <row r="1056" spans="16:16" x14ac:dyDescent="0.25">
      <c r="P1056" s="24">
        <f t="shared" si="17"/>
        <v>0</v>
      </c>
    </row>
    <row r="1057" spans="16:16" x14ac:dyDescent="0.25">
      <c r="P1057" s="24">
        <f t="shared" si="17"/>
        <v>0</v>
      </c>
    </row>
    <row r="1058" spans="16:16" x14ac:dyDescent="0.25">
      <c r="P1058" s="24">
        <f t="shared" si="17"/>
        <v>0</v>
      </c>
    </row>
    <row r="1059" spans="16:16" x14ac:dyDescent="0.25">
      <c r="P1059" s="24">
        <f t="shared" si="17"/>
        <v>0</v>
      </c>
    </row>
    <row r="1060" spans="16:16" x14ac:dyDescent="0.25">
      <c r="P1060" s="24">
        <f t="shared" si="17"/>
        <v>0</v>
      </c>
    </row>
    <row r="1061" spans="16:16" x14ac:dyDescent="0.25">
      <c r="P1061" s="24">
        <f t="shared" si="17"/>
        <v>0</v>
      </c>
    </row>
    <row r="1062" spans="16:16" x14ac:dyDescent="0.25">
      <c r="P1062" s="24">
        <f t="shared" si="17"/>
        <v>0</v>
      </c>
    </row>
    <row r="1063" spans="16:16" x14ac:dyDescent="0.25">
      <c r="P1063" s="24">
        <f t="shared" si="17"/>
        <v>0</v>
      </c>
    </row>
    <row r="1064" spans="16:16" x14ac:dyDescent="0.25">
      <c r="P1064" s="24">
        <f t="shared" si="17"/>
        <v>0</v>
      </c>
    </row>
    <row r="1065" spans="16:16" x14ac:dyDescent="0.25">
      <c r="P1065" s="24">
        <f t="shared" si="17"/>
        <v>0</v>
      </c>
    </row>
    <row r="1066" spans="16:16" x14ac:dyDescent="0.25">
      <c r="P1066" s="24">
        <f t="shared" ref="P1066:P1129" si="18">H1066-G1066</f>
        <v>0</v>
      </c>
    </row>
    <row r="1067" spans="16:16" x14ac:dyDescent="0.25">
      <c r="P1067" s="24">
        <f t="shared" si="18"/>
        <v>0</v>
      </c>
    </row>
    <row r="1068" spans="16:16" x14ac:dyDescent="0.25">
      <c r="P1068" s="24">
        <f t="shared" si="18"/>
        <v>0</v>
      </c>
    </row>
    <row r="1069" spans="16:16" x14ac:dyDescent="0.25">
      <c r="P1069" s="24">
        <f t="shared" si="18"/>
        <v>0</v>
      </c>
    </row>
    <row r="1070" spans="16:16" x14ac:dyDescent="0.25">
      <c r="P1070" s="24">
        <f t="shared" si="18"/>
        <v>0</v>
      </c>
    </row>
    <row r="1071" spans="16:16" x14ac:dyDescent="0.25">
      <c r="P1071" s="24">
        <f t="shared" si="18"/>
        <v>0</v>
      </c>
    </row>
    <row r="1072" spans="16:16" x14ac:dyDescent="0.25">
      <c r="P1072" s="24">
        <f t="shared" si="18"/>
        <v>0</v>
      </c>
    </row>
    <row r="1073" spans="16:16" x14ac:dyDescent="0.25">
      <c r="P1073" s="24">
        <f t="shared" si="18"/>
        <v>0</v>
      </c>
    </row>
    <row r="1074" spans="16:16" x14ac:dyDescent="0.25">
      <c r="P1074" s="24">
        <f t="shared" si="18"/>
        <v>0</v>
      </c>
    </row>
    <row r="1075" spans="16:16" x14ac:dyDescent="0.25">
      <c r="P1075" s="24">
        <f t="shared" si="18"/>
        <v>0</v>
      </c>
    </row>
    <row r="1076" spans="16:16" x14ac:dyDescent="0.25">
      <c r="P1076" s="24">
        <f t="shared" si="18"/>
        <v>0</v>
      </c>
    </row>
    <row r="1077" spans="16:16" x14ac:dyDescent="0.25">
      <c r="P1077" s="24">
        <f t="shared" si="18"/>
        <v>0</v>
      </c>
    </row>
    <row r="1078" spans="16:16" x14ac:dyDescent="0.25">
      <c r="P1078" s="24">
        <f t="shared" si="18"/>
        <v>0</v>
      </c>
    </row>
    <row r="1079" spans="16:16" x14ac:dyDescent="0.25">
      <c r="P1079" s="24">
        <f t="shared" si="18"/>
        <v>0</v>
      </c>
    </row>
    <row r="1080" spans="16:16" x14ac:dyDescent="0.25">
      <c r="P1080" s="24">
        <f t="shared" si="18"/>
        <v>0</v>
      </c>
    </row>
    <row r="1081" spans="16:16" x14ac:dyDescent="0.25">
      <c r="P1081" s="24">
        <f t="shared" si="18"/>
        <v>0</v>
      </c>
    </row>
    <row r="1082" spans="16:16" x14ac:dyDescent="0.25">
      <c r="P1082" s="24">
        <f t="shared" si="18"/>
        <v>0</v>
      </c>
    </row>
    <row r="1083" spans="16:16" x14ac:dyDescent="0.25">
      <c r="P1083" s="24">
        <f t="shared" si="18"/>
        <v>0</v>
      </c>
    </row>
    <row r="1084" spans="16:16" x14ac:dyDescent="0.25">
      <c r="P1084" s="24">
        <f t="shared" si="18"/>
        <v>0</v>
      </c>
    </row>
    <row r="1085" spans="16:16" x14ac:dyDescent="0.25">
      <c r="P1085" s="24">
        <f t="shared" si="18"/>
        <v>0</v>
      </c>
    </row>
    <row r="1086" spans="16:16" x14ac:dyDescent="0.25">
      <c r="P1086" s="24">
        <f t="shared" si="18"/>
        <v>0</v>
      </c>
    </row>
    <row r="1087" spans="16:16" x14ac:dyDescent="0.25">
      <c r="P1087" s="24">
        <f t="shared" si="18"/>
        <v>0</v>
      </c>
    </row>
    <row r="1088" spans="16:16" x14ac:dyDescent="0.25">
      <c r="P1088" s="24">
        <f t="shared" si="18"/>
        <v>0</v>
      </c>
    </row>
    <row r="1089" spans="16:16" x14ac:dyDescent="0.25">
      <c r="P1089" s="24">
        <f t="shared" si="18"/>
        <v>0</v>
      </c>
    </row>
    <row r="1090" spans="16:16" x14ac:dyDescent="0.25">
      <c r="P1090" s="24">
        <f t="shared" si="18"/>
        <v>0</v>
      </c>
    </row>
    <row r="1091" spans="16:16" x14ac:dyDescent="0.25">
      <c r="P1091" s="24">
        <f t="shared" si="18"/>
        <v>0</v>
      </c>
    </row>
    <row r="1092" spans="16:16" x14ac:dyDescent="0.25">
      <c r="P1092" s="24">
        <f t="shared" si="18"/>
        <v>0</v>
      </c>
    </row>
    <row r="1093" spans="16:16" x14ac:dyDescent="0.25">
      <c r="P1093" s="24">
        <f t="shared" si="18"/>
        <v>0</v>
      </c>
    </row>
    <row r="1094" spans="16:16" x14ac:dyDescent="0.25">
      <c r="P1094" s="24">
        <f t="shared" si="18"/>
        <v>0</v>
      </c>
    </row>
    <row r="1095" spans="16:16" x14ac:dyDescent="0.25">
      <c r="P1095" s="24">
        <f t="shared" si="18"/>
        <v>0</v>
      </c>
    </row>
    <row r="1096" spans="16:16" x14ac:dyDescent="0.25">
      <c r="P1096" s="24">
        <f t="shared" si="18"/>
        <v>0</v>
      </c>
    </row>
    <row r="1097" spans="16:16" x14ac:dyDescent="0.25">
      <c r="P1097" s="24">
        <f t="shared" si="18"/>
        <v>0</v>
      </c>
    </row>
    <row r="1098" spans="16:16" x14ac:dyDescent="0.25">
      <c r="P1098" s="24">
        <f t="shared" si="18"/>
        <v>0</v>
      </c>
    </row>
    <row r="1099" spans="16:16" x14ac:dyDescent="0.25">
      <c r="P1099" s="24">
        <f t="shared" si="18"/>
        <v>0</v>
      </c>
    </row>
    <row r="1100" spans="16:16" x14ac:dyDescent="0.25">
      <c r="P1100" s="24">
        <f t="shared" si="18"/>
        <v>0</v>
      </c>
    </row>
    <row r="1101" spans="16:16" x14ac:dyDescent="0.25">
      <c r="P1101" s="24">
        <f t="shared" si="18"/>
        <v>0</v>
      </c>
    </row>
    <row r="1102" spans="16:16" x14ac:dyDescent="0.25">
      <c r="P1102" s="24">
        <f t="shared" si="18"/>
        <v>0</v>
      </c>
    </row>
    <row r="1103" spans="16:16" x14ac:dyDescent="0.25">
      <c r="P1103" s="24">
        <f t="shared" si="18"/>
        <v>0</v>
      </c>
    </row>
    <row r="1104" spans="16:16" x14ac:dyDescent="0.25">
      <c r="P1104" s="24">
        <f t="shared" si="18"/>
        <v>0</v>
      </c>
    </row>
    <row r="1105" spans="16:16" x14ac:dyDescent="0.25">
      <c r="P1105" s="24">
        <f t="shared" si="18"/>
        <v>0</v>
      </c>
    </row>
    <row r="1106" spans="16:16" x14ac:dyDescent="0.25">
      <c r="P1106" s="24">
        <f t="shared" si="18"/>
        <v>0</v>
      </c>
    </row>
    <row r="1107" spans="16:16" x14ac:dyDescent="0.25">
      <c r="P1107" s="24">
        <f t="shared" si="18"/>
        <v>0</v>
      </c>
    </row>
    <row r="1108" spans="16:16" x14ac:dyDescent="0.25">
      <c r="P1108" s="24">
        <f t="shared" si="18"/>
        <v>0</v>
      </c>
    </row>
    <row r="1109" spans="16:16" x14ac:dyDescent="0.25">
      <c r="P1109" s="24">
        <f t="shared" si="18"/>
        <v>0</v>
      </c>
    </row>
    <row r="1110" spans="16:16" x14ac:dyDescent="0.25">
      <c r="P1110" s="24">
        <f t="shared" si="18"/>
        <v>0</v>
      </c>
    </row>
    <row r="1111" spans="16:16" x14ac:dyDescent="0.25">
      <c r="P1111" s="24">
        <f t="shared" si="18"/>
        <v>0</v>
      </c>
    </row>
    <row r="1112" spans="16:16" x14ac:dyDescent="0.25">
      <c r="P1112" s="24">
        <f t="shared" si="18"/>
        <v>0</v>
      </c>
    </row>
    <row r="1113" spans="16:16" x14ac:dyDescent="0.25">
      <c r="P1113" s="24">
        <f t="shared" si="18"/>
        <v>0</v>
      </c>
    </row>
    <row r="1114" spans="16:16" x14ac:dyDescent="0.25">
      <c r="P1114" s="24">
        <f t="shared" si="18"/>
        <v>0</v>
      </c>
    </row>
    <row r="1115" spans="16:16" x14ac:dyDescent="0.25">
      <c r="P1115" s="24">
        <f t="shared" si="18"/>
        <v>0</v>
      </c>
    </row>
    <row r="1116" spans="16:16" x14ac:dyDescent="0.25">
      <c r="P1116" s="24">
        <f t="shared" si="18"/>
        <v>0</v>
      </c>
    </row>
    <row r="1117" spans="16:16" x14ac:dyDescent="0.25">
      <c r="P1117" s="24">
        <f t="shared" si="18"/>
        <v>0</v>
      </c>
    </row>
    <row r="1118" spans="16:16" x14ac:dyDescent="0.25">
      <c r="P1118" s="24">
        <f t="shared" si="18"/>
        <v>0</v>
      </c>
    </row>
    <row r="1119" spans="16:16" x14ac:dyDescent="0.25">
      <c r="P1119" s="24">
        <f t="shared" si="18"/>
        <v>0</v>
      </c>
    </row>
    <row r="1120" spans="16:16" x14ac:dyDescent="0.25">
      <c r="P1120" s="24">
        <f t="shared" si="18"/>
        <v>0</v>
      </c>
    </row>
    <row r="1121" spans="16:16" x14ac:dyDescent="0.25">
      <c r="P1121" s="24">
        <f t="shared" si="18"/>
        <v>0</v>
      </c>
    </row>
    <row r="1122" spans="16:16" x14ac:dyDescent="0.25">
      <c r="P1122" s="24">
        <f t="shared" si="18"/>
        <v>0</v>
      </c>
    </row>
    <row r="1123" spans="16:16" x14ac:dyDescent="0.25">
      <c r="P1123" s="24">
        <f t="shared" si="18"/>
        <v>0</v>
      </c>
    </row>
    <row r="1124" spans="16:16" x14ac:dyDescent="0.25">
      <c r="P1124" s="24">
        <f t="shared" si="18"/>
        <v>0</v>
      </c>
    </row>
    <row r="1125" spans="16:16" x14ac:dyDescent="0.25">
      <c r="P1125" s="24">
        <f t="shared" si="18"/>
        <v>0</v>
      </c>
    </row>
    <row r="1126" spans="16:16" x14ac:dyDescent="0.25">
      <c r="P1126" s="24">
        <f t="shared" si="18"/>
        <v>0</v>
      </c>
    </row>
    <row r="1127" spans="16:16" x14ac:dyDescent="0.25">
      <c r="P1127" s="24">
        <f t="shared" si="18"/>
        <v>0</v>
      </c>
    </row>
    <row r="1128" spans="16:16" x14ac:dyDescent="0.25">
      <c r="P1128" s="24">
        <f t="shared" si="18"/>
        <v>0</v>
      </c>
    </row>
    <row r="1129" spans="16:16" x14ac:dyDescent="0.25">
      <c r="P1129" s="24">
        <f t="shared" si="18"/>
        <v>0</v>
      </c>
    </row>
    <row r="1130" spans="16:16" x14ac:dyDescent="0.25">
      <c r="P1130" s="24">
        <f t="shared" ref="P1130:P1193" si="19">H1130-G1130</f>
        <v>0</v>
      </c>
    </row>
    <row r="1131" spans="16:16" x14ac:dyDescent="0.25">
      <c r="P1131" s="24">
        <f t="shared" si="19"/>
        <v>0</v>
      </c>
    </row>
    <row r="1132" spans="16:16" x14ac:dyDescent="0.25">
      <c r="P1132" s="24">
        <f t="shared" si="19"/>
        <v>0</v>
      </c>
    </row>
    <row r="1133" spans="16:16" x14ac:dyDescent="0.25">
      <c r="P1133" s="24">
        <f t="shared" si="19"/>
        <v>0</v>
      </c>
    </row>
    <row r="1134" spans="16:16" x14ac:dyDescent="0.25">
      <c r="P1134" s="24">
        <f t="shared" si="19"/>
        <v>0</v>
      </c>
    </row>
    <row r="1135" spans="16:16" x14ac:dyDescent="0.25">
      <c r="P1135" s="24">
        <f t="shared" si="19"/>
        <v>0</v>
      </c>
    </row>
    <row r="1136" spans="16:16" x14ac:dyDescent="0.25">
      <c r="P1136" s="24">
        <f t="shared" si="19"/>
        <v>0</v>
      </c>
    </row>
    <row r="1137" spans="16:16" x14ac:dyDescent="0.25">
      <c r="P1137" s="24">
        <f t="shared" si="19"/>
        <v>0</v>
      </c>
    </row>
    <row r="1138" spans="16:16" x14ac:dyDescent="0.25">
      <c r="P1138" s="24">
        <f t="shared" si="19"/>
        <v>0</v>
      </c>
    </row>
    <row r="1139" spans="16:16" x14ac:dyDescent="0.25">
      <c r="P1139" s="24">
        <f t="shared" si="19"/>
        <v>0</v>
      </c>
    </row>
    <row r="1140" spans="16:16" x14ac:dyDescent="0.25">
      <c r="P1140" s="24">
        <f t="shared" si="19"/>
        <v>0</v>
      </c>
    </row>
    <row r="1141" spans="16:16" x14ac:dyDescent="0.25">
      <c r="P1141" s="24">
        <f t="shared" si="19"/>
        <v>0</v>
      </c>
    </row>
    <row r="1142" spans="16:16" x14ac:dyDescent="0.25">
      <c r="P1142" s="24">
        <f t="shared" si="19"/>
        <v>0</v>
      </c>
    </row>
    <row r="1143" spans="16:16" x14ac:dyDescent="0.25">
      <c r="P1143" s="24">
        <f t="shared" si="19"/>
        <v>0</v>
      </c>
    </row>
    <row r="1144" spans="16:16" x14ac:dyDescent="0.25">
      <c r="P1144" s="24">
        <f t="shared" si="19"/>
        <v>0</v>
      </c>
    </row>
    <row r="1145" spans="16:16" x14ac:dyDescent="0.25">
      <c r="P1145" s="24">
        <f t="shared" si="19"/>
        <v>0</v>
      </c>
    </row>
    <row r="1146" spans="16:16" x14ac:dyDescent="0.25">
      <c r="P1146" s="24">
        <f t="shared" si="19"/>
        <v>0</v>
      </c>
    </row>
    <row r="1147" spans="16:16" x14ac:dyDescent="0.25">
      <c r="P1147" s="24">
        <f t="shared" si="19"/>
        <v>0</v>
      </c>
    </row>
    <row r="1148" spans="16:16" x14ac:dyDescent="0.25">
      <c r="P1148" s="24">
        <f t="shared" si="19"/>
        <v>0</v>
      </c>
    </row>
    <row r="1149" spans="16:16" x14ac:dyDescent="0.25">
      <c r="P1149" s="24">
        <f t="shared" si="19"/>
        <v>0</v>
      </c>
    </row>
    <row r="1150" spans="16:16" x14ac:dyDescent="0.25">
      <c r="P1150" s="24">
        <f t="shared" si="19"/>
        <v>0</v>
      </c>
    </row>
    <row r="1151" spans="16:16" x14ac:dyDescent="0.25">
      <c r="P1151" s="24">
        <f t="shared" si="19"/>
        <v>0</v>
      </c>
    </row>
    <row r="1152" spans="16:16" x14ac:dyDescent="0.25">
      <c r="P1152" s="24">
        <f t="shared" si="19"/>
        <v>0</v>
      </c>
    </row>
    <row r="1153" spans="16:16" x14ac:dyDescent="0.25">
      <c r="P1153" s="24">
        <f t="shared" si="19"/>
        <v>0</v>
      </c>
    </row>
    <row r="1154" spans="16:16" x14ac:dyDescent="0.25">
      <c r="P1154" s="24">
        <f t="shared" si="19"/>
        <v>0</v>
      </c>
    </row>
    <row r="1155" spans="16:16" x14ac:dyDescent="0.25">
      <c r="P1155" s="24">
        <f t="shared" si="19"/>
        <v>0</v>
      </c>
    </row>
    <row r="1156" spans="16:16" x14ac:dyDescent="0.25">
      <c r="P1156" s="24">
        <f t="shared" si="19"/>
        <v>0</v>
      </c>
    </row>
    <row r="1157" spans="16:16" x14ac:dyDescent="0.25">
      <c r="P1157" s="24">
        <f t="shared" si="19"/>
        <v>0</v>
      </c>
    </row>
    <row r="1158" spans="16:16" x14ac:dyDescent="0.25">
      <c r="P1158" s="24">
        <f t="shared" si="19"/>
        <v>0</v>
      </c>
    </row>
    <row r="1159" spans="16:16" x14ac:dyDescent="0.25">
      <c r="P1159" s="24">
        <f t="shared" si="19"/>
        <v>0</v>
      </c>
    </row>
    <row r="1160" spans="16:16" x14ac:dyDescent="0.25">
      <c r="P1160" s="24">
        <f t="shared" si="19"/>
        <v>0</v>
      </c>
    </row>
    <row r="1161" spans="16:16" x14ac:dyDescent="0.25">
      <c r="P1161" s="24">
        <f t="shared" si="19"/>
        <v>0</v>
      </c>
    </row>
    <row r="1162" spans="16:16" x14ac:dyDescent="0.25">
      <c r="P1162" s="24">
        <f t="shared" si="19"/>
        <v>0</v>
      </c>
    </row>
    <row r="1163" spans="16:16" x14ac:dyDescent="0.25">
      <c r="P1163" s="24">
        <f t="shared" si="19"/>
        <v>0</v>
      </c>
    </row>
    <row r="1164" spans="16:16" x14ac:dyDescent="0.25">
      <c r="P1164" s="24">
        <f t="shared" si="19"/>
        <v>0</v>
      </c>
    </row>
    <row r="1165" spans="16:16" x14ac:dyDescent="0.25">
      <c r="P1165" s="24">
        <f t="shared" si="19"/>
        <v>0</v>
      </c>
    </row>
    <row r="1166" spans="16:16" x14ac:dyDescent="0.25">
      <c r="P1166" s="24">
        <f t="shared" si="19"/>
        <v>0</v>
      </c>
    </row>
    <row r="1167" spans="16:16" x14ac:dyDescent="0.25">
      <c r="P1167" s="24">
        <f t="shared" si="19"/>
        <v>0</v>
      </c>
    </row>
    <row r="1168" spans="16:16" x14ac:dyDescent="0.25">
      <c r="P1168" s="24">
        <f t="shared" si="19"/>
        <v>0</v>
      </c>
    </row>
    <row r="1169" spans="16:16" x14ac:dyDescent="0.25">
      <c r="P1169" s="24">
        <f t="shared" si="19"/>
        <v>0</v>
      </c>
    </row>
    <row r="1170" spans="16:16" x14ac:dyDescent="0.25">
      <c r="P1170" s="24">
        <f t="shared" si="19"/>
        <v>0</v>
      </c>
    </row>
    <row r="1171" spans="16:16" x14ac:dyDescent="0.25">
      <c r="P1171" s="24">
        <f t="shared" si="19"/>
        <v>0</v>
      </c>
    </row>
    <row r="1172" spans="16:16" x14ac:dyDescent="0.25">
      <c r="P1172" s="24">
        <f t="shared" si="19"/>
        <v>0</v>
      </c>
    </row>
    <row r="1173" spans="16:16" x14ac:dyDescent="0.25">
      <c r="P1173" s="24">
        <f t="shared" si="19"/>
        <v>0</v>
      </c>
    </row>
    <row r="1174" spans="16:16" x14ac:dyDescent="0.25">
      <c r="P1174" s="24">
        <f t="shared" si="19"/>
        <v>0</v>
      </c>
    </row>
    <row r="1175" spans="16:16" x14ac:dyDescent="0.25">
      <c r="P1175" s="24">
        <f t="shared" si="19"/>
        <v>0</v>
      </c>
    </row>
    <row r="1176" spans="16:16" x14ac:dyDescent="0.25">
      <c r="P1176" s="24">
        <f t="shared" si="19"/>
        <v>0</v>
      </c>
    </row>
    <row r="1177" spans="16:16" x14ac:dyDescent="0.25">
      <c r="P1177" s="24">
        <f t="shared" si="19"/>
        <v>0</v>
      </c>
    </row>
    <row r="1178" spans="16:16" x14ac:dyDescent="0.25">
      <c r="P1178" s="24">
        <f t="shared" si="19"/>
        <v>0</v>
      </c>
    </row>
    <row r="1179" spans="16:16" x14ac:dyDescent="0.25">
      <c r="P1179" s="24">
        <f t="shared" si="19"/>
        <v>0</v>
      </c>
    </row>
    <row r="1180" spans="16:16" x14ac:dyDescent="0.25">
      <c r="P1180" s="24">
        <f t="shared" si="19"/>
        <v>0</v>
      </c>
    </row>
    <row r="1181" spans="16:16" x14ac:dyDescent="0.25">
      <c r="P1181" s="24">
        <f t="shared" si="19"/>
        <v>0</v>
      </c>
    </row>
    <row r="1182" spans="16:16" x14ac:dyDescent="0.25">
      <c r="P1182" s="24">
        <f t="shared" si="19"/>
        <v>0</v>
      </c>
    </row>
    <row r="1183" spans="16:16" x14ac:dyDescent="0.25">
      <c r="P1183" s="24">
        <f t="shared" si="19"/>
        <v>0</v>
      </c>
    </row>
    <row r="1184" spans="16:16" x14ac:dyDescent="0.25">
      <c r="P1184" s="24">
        <f t="shared" si="19"/>
        <v>0</v>
      </c>
    </row>
    <row r="1185" spans="16:16" x14ac:dyDescent="0.25">
      <c r="P1185" s="24">
        <f t="shared" si="19"/>
        <v>0</v>
      </c>
    </row>
    <row r="1186" spans="16:16" x14ac:dyDescent="0.25">
      <c r="P1186" s="24">
        <f t="shared" si="19"/>
        <v>0</v>
      </c>
    </row>
    <row r="1187" spans="16:16" x14ac:dyDescent="0.25">
      <c r="P1187" s="24">
        <f t="shared" si="19"/>
        <v>0</v>
      </c>
    </row>
    <row r="1188" spans="16:16" x14ac:dyDescent="0.25">
      <c r="P1188" s="24">
        <f t="shared" si="19"/>
        <v>0</v>
      </c>
    </row>
    <row r="1189" spans="16:16" x14ac:dyDescent="0.25">
      <c r="P1189" s="24">
        <f t="shared" si="19"/>
        <v>0</v>
      </c>
    </row>
    <row r="1190" spans="16:16" x14ac:dyDescent="0.25">
      <c r="P1190" s="24">
        <f t="shared" si="19"/>
        <v>0</v>
      </c>
    </row>
    <row r="1191" spans="16:16" x14ac:dyDescent="0.25">
      <c r="P1191" s="24">
        <f t="shared" si="19"/>
        <v>0</v>
      </c>
    </row>
    <row r="1192" spans="16:16" x14ac:dyDescent="0.25">
      <c r="P1192" s="24">
        <f t="shared" si="19"/>
        <v>0</v>
      </c>
    </row>
    <row r="1193" spans="16:16" x14ac:dyDescent="0.25">
      <c r="P1193" s="24">
        <f t="shared" si="19"/>
        <v>0</v>
      </c>
    </row>
    <row r="1194" spans="16:16" x14ac:dyDescent="0.25">
      <c r="P1194" s="24">
        <f t="shared" ref="P1194:P1257" si="20">H1194-G1194</f>
        <v>0</v>
      </c>
    </row>
    <row r="1195" spans="16:16" x14ac:dyDescent="0.25">
      <c r="P1195" s="24">
        <f t="shared" si="20"/>
        <v>0</v>
      </c>
    </row>
    <row r="1196" spans="16:16" x14ac:dyDescent="0.25">
      <c r="P1196" s="24">
        <f t="shared" si="20"/>
        <v>0</v>
      </c>
    </row>
    <row r="1197" spans="16:16" x14ac:dyDescent="0.25">
      <c r="P1197" s="24">
        <f t="shared" si="20"/>
        <v>0</v>
      </c>
    </row>
    <row r="1198" spans="16:16" x14ac:dyDescent="0.25">
      <c r="P1198" s="24">
        <f t="shared" si="20"/>
        <v>0</v>
      </c>
    </row>
    <row r="1199" spans="16:16" x14ac:dyDescent="0.25">
      <c r="P1199" s="24">
        <f t="shared" si="20"/>
        <v>0</v>
      </c>
    </row>
    <row r="1200" spans="16:16" x14ac:dyDescent="0.25">
      <c r="P1200" s="24">
        <f t="shared" si="20"/>
        <v>0</v>
      </c>
    </row>
    <row r="1201" spans="16:16" x14ac:dyDescent="0.25">
      <c r="P1201" s="24">
        <f t="shared" si="20"/>
        <v>0</v>
      </c>
    </row>
    <row r="1202" spans="16:16" x14ac:dyDescent="0.25">
      <c r="P1202" s="24">
        <f t="shared" si="20"/>
        <v>0</v>
      </c>
    </row>
    <row r="1203" spans="16:16" x14ac:dyDescent="0.25">
      <c r="P1203" s="24">
        <f t="shared" si="20"/>
        <v>0</v>
      </c>
    </row>
    <row r="1204" spans="16:16" x14ac:dyDescent="0.25">
      <c r="P1204" s="24">
        <f t="shared" si="20"/>
        <v>0</v>
      </c>
    </row>
    <row r="1205" spans="16:16" x14ac:dyDescent="0.25">
      <c r="P1205" s="24">
        <f t="shared" si="20"/>
        <v>0</v>
      </c>
    </row>
    <row r="1206" spans="16:16" x14ac:dyDescent="0.25">
      <c r="P1206" s="24">
        <f t="shared" si="20"/>
        <v>0</v>
      </c>
    </row>
    <row r="1207" spans="16:16" x14ac:dyDescent="0.25">
      <c r="P1207" s="24">
        <f t="shared" si="20"/>
        <v>0</v>
      </c>
    </row>
    <row r="1208" spans="16:16" x14ac:dyDescent="0.25">
      <c r="P1208" s="24">
        <f t="shared" si="20"/>
        <v>0</v>
      </c>
    </row>
    <row r="1209" spans="16:16" x14ac:dyDescent="0.25">
      <c r="P1209" s="24">
        <f t="shared" si="20"/>
        <v>0</v>
      </c>
    </row>
    <row r="1210" spans="16:16" x14ac:dyDescent="0.25">
      <c r="P1210" s="24">
        <f t="shared" si="20"/>
        <v>0</v>
      </c>
    </row>
    <row r="1211" spans="16:16" x14ac:dyDescent="0.25">
      <c r="P1211" s="24">
        <f t="shared" si="20"/>
        <v>0</v>
      </c>
    </row>
    <row r="1212" spans="16:16" x14ac:dyDescent="0.25">
      <c r="P1212" s="24">
        <f t="shared" si="20"/>
        <v>0</v>
      </c>
    </row>
    <row r="1213" spans="16:16" x14ac:dyDescent="0.25">
      <c r="P1213" s="24">
        <f t="shared" si="20"/>
        <v>0</v>
      </c>
    </row>
    <row r="1214" spans="16:16" x14ac:dyDescent="0.25">
      <c r="P1214" s="24">
        <f t="shared" si="20"/>
        <v>0</v>
      </c>
    </row>
    <row r="1215" spans="16:16" x14ac:dyDescent="0.25">
      <c r="P1215" s="24">
        <f t="shared" si="20"/>
        <v>0</v>
      </c>
    </row>
    <row r="1216" spans="16:16" x14ac:dyDescent="0.25">
      <c r="P1216" s="24">
        <f t="shared" si="20"/>
        <v>0</v>
      </c>
    </row>
    <row r="1217" spans="16:16" x14ac:dyDescent="0.25">
      <c r="P1217" s="24">
        <f t="shared" si="20"/>
        <v>0</v>
      </c>
    </row>
    <row r="1218" spans="16:16" x14ac:dyDescent="0.25">
      <c r="P1218" s="24">
        <f t="shared" si="20"/>
        <v>0</v>
      </c>
    </row>
    <row r="1219" spans="16:16" x14ac:dyDescent="0.25">
      <c r="P1219" s="24">
        <f t="shared" si="20"/>
        <v>0</v>
      </c>
    </row>
    <row r="1220" spans="16:16" x14ac:dyDescent="0.25">
      <c r="P1220" s="24">
        <f t="shared" si="20"/>
        <v>0</v>
      </c>
    </row>
    <row r="1221" spans="16:16" x14ac:dyDescent="0.25">
      <c r="P1221" s="24">
        <f t="shared" si="20"/>
        <v>0</v>
      </c>
    </row>
    <row r="1222" spans="16:16" x14ac:dyDescent="0.25">
      <c r="P1222" s="24">
        <f t="shared" si="20"/>
        <v>0</v>
      </c>
    </row>
    <row r="1223" spans="16:16" x14ac:dyDescent="0.25">
      <c r="P1223" s="24">
        <f t="shared" si="20"/>
        <v>0</v>
      </c>
    </row>
    <row r="1224" spans="16:16" x14ac:dyDescent="0.25">
      <c r="P1224" s="24">
        <f t="shared" si="20"/>
        <v>0</v>
      </c>
    </row>
    <row r="1225" spans="16:16" x14ac:dyDescent="0.25">
      <c r="P1225" s="24">
        <f t="shared" si="20"/>
        <v>0</v>
      </c>
    </row>
    <row r="1226" spans="16:16" x14ac:dyDescent="0.25">
      <c r="P1226" s="24">
        <f t="shared" si="20"/>
        <v>0</v>
      </c>
    </row>
    <row r="1227" spans="16:16" x14ac:dyDescent="0.25">
      <c r="P1227" s="24">
        <f t="shared" si="20"/>
        <v>0</v>
      </c>
    </row>
    <row r="1228" spans="16:16" x14ac:dyDescent="0.25">
      <c r="P1228" s="24">
        <f t="shared" si="20"/>
        <v>0</v>
      </c>
    </row>
    <row r="1229" spans="16:16" x14ac:dyDescent="0.25">
      <c r="P1229" s="24">
        <f t="shared" si="20"/>
        <v>0</v>
      </c>
    </row>
    <row r="1230" spans="16:16" x14ac:dyDescent="0.25">
      <c r="P1230" s="24">
        <f t="shared" si="20"/>
        <v>0</v>
      </c>
    </row>
    <row r="1231" spans="16:16" x14ac:dyDescent="0.25">
      <c r="P1231" s="24">
        <f t="shared" si="20"/>
        <v>0</v>
      </c>
    </row>
    <row r="1232" spans="16:16" x14ac:dyDescent="0.25">
      <c r="P1232" s="24">
        <f t="shared" si="20"/>
        <v>0</v>
      </c>
    </row>
    <row r="1233" spans="16:16" x14ac:dyDescent="0.25">
      <c r="P1233" s="24">
        <f t="shared" si="20"/>
        <v>0</v>
      </c>
    </row>
    <row r="1234" spans="16:16" x14ac:dyDescent="0.25">
      <c r="P1234" s="24">
        <f t="shared" si="20"/>
        <v>0</v>
      </c>
    </row>
    <row r="1235" spans="16:16" x14ac:dyDescent="0.25">
      <c r="P1235" s="24">
        <f t="shared" si="20"/>
        <v>0</v>
      </c>
    </row>
    <row r="1236" spans="16:16" x14ac:dyDescent="0.25">
      <c r="P1236" s="24">
        <f t="shared" si="20"/>
        <v>0</v>
      </c>
    </row>
    <row r="1237" spans="16:16" x14ac:dyDescent="0.25">
      <c r="P1237" s="24">
        <f t="shared" si="20"/>
        <v>0</v>
      </c>
    </row>
    <row r="1238" spans="16:16" x14ac:dyDescent="0.25">
      <c r="P1238" s="24">
        <f t="shared" si="20"/>
        <v>0</v>
      </c>
    </row>
    <row r="1239" spans="16:16" x14ac:dyDescent="0.25">
      <c r="P1239" s="24">
        <f t="shared" si="20"/>
        <v>0</v>
      </c>
    </row>
    <row r="1240" spans="16:16" x14ac:dyDescent="0.25">
      <c r="P1240" s="24">
        <f t="shared" si="20"/>
        <v>0</v>
      </c>
    </row>
    <row r="1241" spans="16:16" x14ac:dyDescent="0.25">
      <c r="P1241" s="24">
        <f t="shared" si="20"/>
        <v>0</v>
      </c>
    </row>
    <row r="1242" spans="16:16" x14ac:dyDescent="0.25">
      <c r="P1242" s="24">
        <f t="shared" si="20"/>
        <v>0</v>
      </c>
    </row>
    <row r="1243" spans="16:16" x14ac:dyDescent="0.25">
      <c r="P1243" s="24">
        <f t="shared" si="20"/>
        <v>0</v>
      </c>
    </row>
    <row r="1244" spans="16:16" x14ac:dyDescent="0.25">
      <c r="P1244" s="24">
        <f t="shared" si="20"/>
        <v>0</v>
      </c>
    </row>
    <row r="1245" spans="16:16" x14ac:dyDescent="0.25">
      <c r="P1245" s="24">
        <f t="shared" si="20"/>
        <v>0</v>
      </c>
    </row>
    <row r="1246" spans="16:16" x14ac:dyDescent="0.25">
      <c r="P1246" s="24">
        <f t="shared" si="20"/>
        <v>0</v>
      </c>
    </row>
    <row r="1247" spans="16:16" x14ac:dyDescent="0.25">
      <c r="P1247" s="24">
        <f t="shared" si="20"/>
        <v>0</v>
      </c>
    </row>
    <row r="1248" spans="16:16" x14ac:dyDescent="0.25">
      <c r="P1248" s="24">
        <f t="shared" si="20"/>
        <v>0</v>
      </c>
    </row>
    <row r="1249" spans="16:16" x14ac:dyDescent="0.25">
      <c r="P1249" s="24">
        <f t="shared" si="20"/>
        <v>0</v>
      </c>
    </row>
    <row r="1250" spans="16:16" x14ac:dyDescent="0.25">
      <c r="P1250" s="24">
        <f t="shared" si="20"/>
        <v>0</v>
      </c>
    </row>
    <row r="1251" spans="16:16" x14ac:dyDescent="0.25">
      <c r="P1251" s="24">
        <f t="shared" si="20"/>
        <v>0</v>
      </c>
    </row>
    <row r="1252" spans="16:16" x14ac:dyDescent="0.25">
      <c r="P1252" s="24">
        <f t="shared" si="20"/>
        <v>0</v>
      </c>
    </row>
    <row r="1253" spans="16:16" x14ac:dyDescent="0.25">
      <c r="P1253" s="24">
        <f t="shared" si="20"/>
        <v>0</v>
      </c>
    </row>
    <row r="1254" spans="16:16" x14ac:dyDescent="0.25">
      <c r="P1254" s="24">
        <f t="shared" si="20"/>
        <v>0</v>
      </c>
    </row>
    <row r="1255" spans="16:16" x14ac:dyDescent="0.25">
      <c r="P1255" s="24">
        <f t="shared" si="20"/>
        <v>0</v>
      </c>
    </row>
    <row r="1256" spans="16:16" x14ac:dyDescent="0.25">
      <c r="P1256" s="24">
        <f t="shared" si="20"/>
        <v>0</v>
      </c>
    </row>
    <row r="1257" spans="16:16" x14ac:dyDescent="0.25">
      <c r="P1257" s="24">
        <f t="shared" si="20"/>
        <v>0</v>
      </c>
    </row>
    <row r="1258" spans="16:16" x14ac:dyDescent="0.25">
      <c r="P1258" s="24">
        <f t="shared" ref="P1258:P1282" si="21">H1258-G1258</f>
        <v>0</v>
      </c>
    </row>
    <row r="1259" spans="16:16" x14ac:dyDescent="0.25">
      <c r="P1259" s="24">
        <f t="shared" si="21"/>
        <v>0</v>
      </c>
    </row>
    <row r="1260" spans="16:16" x14ac:dyDescent="0.25">
      <c r="P1260" s="24">
        <f t="shared" si="21"/>
        <v>0</v>
      </c>
    </row>
    <row r="1261" spans="16:16" x14ac:dyDescent="0.25">
      <c r="P1261" s="24">
        <f t="shared" si="21"/>
        <v>0</v>
      </c>
    </row>
    <row r="1262" spans="16:16" x14ac:dyDescent="0.25">
      <c r="P1262" s="24">
        <f t="shared" si="21"/>
        <v>0</v>
      </c>
    </row>
    <row r="1263" spans="16:16" x14ac:dyDescent="0.25">
      <c r="P1263" s="24">
        <f t="shared" si="21"/>
        <v>0</v>
      </c>
    </row>
    <row r="1264" spans="16:16" x14ac:dyDescent="0.25">
      <c r="P1264" s="24">
        <f t="shared" si="21"/>
        <v>0</v>
      </c>
    </row>
    <row r="1265" spans="16:16" x14ac:dyDescent="0.25">
      <c r="P1265" s="24">
        <f t="shared" si="21"/>
        <v>0</v>
      </c>
    </row>
    <row r="1266" spans="16:16" x14ac:dyDescent="0.25">
      <c r="P1266" s="24">
        <f t="shared" si="21"/>
        <v>0</v>
      </c>
    </row>
    <row r="1267" spans="16:16" x14ac:dyDescent="0.25">
      <c r="P1267" s="24">
        <f t="shared" si="21"/>
        <v>0</v>
      </c>
    </row>
    <row r="1268" spans="16:16" x14ac:dyDescent="0.25">
      <c r="P1268" s="24">
        <f t="shared" si="21"/>
        <v>0</v>
      </c>
    </row>
    <row r="1269" spans="16:16" x14ac:dyDescent="0.25">
      <c r="P1269" s="24">
        <f t="shared" si="21"/>
        <v>0</v>
      </c>
    </row>
    <row r="1270" spans="16:16" x14ac:dyDescent="0.25">
      <c r="P1270" s="24">
        <f t="shared" si="21"/>
        <v>0</v>
      </c>
    </row>
    <row r="1271" spans="16:16" x14ac:dyDescent="0.25">
      <c r="P1271" s="24">
        <f t="shared" si="21"/>
        <v>0</v>
      </c>
    </row>
    <row r="1272" spans="16:16" x14ac:dyDescent="0.25">
      <c r="P1272" s="24">
        <f t="shared" si="21"/>
        <v>0</v>
      </c>
    </row>
    <row r="1273" spans="16:16" x14ac:dyDescent="0.25">
      <c r="P1273" s="24">
        <f t="shared" si="21"/>
        <v>0</v>
      </c>
    </row>
    <row r="1274" spans="16:16" x14ac:dyDescent="0.25">
      <c r="P1274" s="24">
        <f t="shared" si="21"/>
        <v>0</v>
      </c>
    </row>
    <row r="1275" spans="16:16" x14ac:dyDescent="0.25">
      <c r="P1275" s="24">
        <f t="shared" si="21"/>
        <v>0</v>
      </c>
    </row>
    <row r="1276" spans="16:16" x14ac:dyDescent="0.25">
      <c r="P1276" s="24">
        <f t="shared" si="21"/>
        <v>0</v>
      </c>
    </row>
    <row r="1277" spans="16:16" x14ac:dyDescent="0.25">
      <c r="P1277" s="24">
        <f t="shared" si="21"/>
        <v>0</v>
      </c>
    </row>
    <row r="1278" spans="16:16" x14ac:dyDescent="0.25">
      <c r="P1278" s="24">
        <f t="shared" si="21"/>
        <v>0</v>
      </c>
    </row>
    <row r="1279" spans="16:16" x14ac:dyDescent="0.25">
      <c r="P1279" s="24">
        <f t="shared" si="21"/>
        <v>0</v>
      </c>
    </row>
    <row r="1280" spans="16:16" x14ac:dyDescent="0.25">
      <c r="P1280" s="24">
        <f t="shared" si="21"/>
        <v>0</v>
      </c>
    </row>
    <row r="1281" spans="16:16" x14ac:dyDescent="0.25">
      <c r="P1281" s="24">
        <f t="shared" si="21"/>
        <v>0</v>
      </c>
    </row>
    <row r="1282" spans="16:16" x14ac:dyDescent="0.25">
      <c r="P1282" s="24">
        <f t="shared" si="21"/>
        <v>0</v>
      </c>
    </row>
  </sheetData>
  <autoFilter ref="A1:Q1282" xr:uid="{C575536A-FB67-4753-ABE2-46810F571B74}"/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piarDadosParaNecessidade">
                <anchor moveWithCells="1" sizeWithCells="1">
                  <from>
                    <xdr:col>17</xdr:col>
                    <xdr:colOff>95250</xdr:colOff>
                    <xdr:row>1</xdr:row>
                    <xdr:rowOff>28575</xdr:rowOff>
                  </from>
                  <to>
                    <xdr:col>19</xdr:col>
                    <xdr:colOff>219075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82752-5B79-423A-8EC2-2DD9E5DF62E9}">
  <sheetPr codeName="Planilha4"/>
  <dimension ref="B1:N45"/>
  <sheetViews>
    <sheetView workbookViewId="0">
      <selection sqref="A1:I1048576"/>
    </sheetView>
  </sheetViews>
  <sheetFormatPr defaultRowHeight="15" x14ac:dyDescent="0.25"/>
  <cols>
    <col min="14" max="14" width="13.28515625" bestFit="1" customWidth="1"/>
  </cols>
  <sheetData>
    <row r="1" spans="2:14" x14ac:dyDescent="0.25">
      <c r="L1" s="16" t="s">
        <v>1086</v>
      </c>
    </row>
    <row r="2" spans="2:14" x14ac:dyDescent="0.25">
      <c r="B2" s="16"/>
      <c r="I2" s="67"/>
      <c r="L2" t="str">
        <f t="shared" ref="L2:L45" si="0">LEFT(C2,2)</f>
        <v/>
      </c>
      <c r="M2" s="21" t="s">
        <v>1087</v>
      </c>
      <c r="N2" s="68">
        <f>SUMIF(L:L,M:M,I:I)</f>
        <v>0</v>
      </c>
    </row>
    <row r="3" spans="2:14" x14ac:dyDescent="0.25">
      <c r="L3" t="str">
        <f t="shared" si="0"/>
        <v/>
      </c>
      <c r="M3" s="21" t="s">
        <v>1056</v>
      </c>
      <c r="N3" s="68">
        <f>SUMIF(L:L,M:M,I:I)</f>
        <v>0</v>
      </c>
    </row>
    <row r="4" spans="2:14" x14ac:dyDescent="0.25">
      <c r="L4" t="str">
        <f t="shared" si="0"/>
        <v/>
      </c>
      <c r="M4" s="21" t="s">
        <v>1088</v>
      </c>
      <c r="N4" s="68">
        <f>SUMIF(L:L,M:M,I:I)</f>
        <v>0</v>
      </c>
    </row>
    <row r="5" spans="2:14" x14ac:dyDescent="0.25">
      <c r="L5" t="str">
        <f t="shared" si="0"/>
        <v/>
      </c>
    </row>
    <row r="6" spans="2:14" x14ac:dyDescent="0.25">
      <c r="I6" s="67"/>
      <c r="L6" t="str">
        <f t="shared" si="0"/>
        <v/>
      </c>
    </row>
    <row r="7" spans="2:14" x14ac:dyDescent="0.25">
      <c r="I7" s="67"/>
      <c r="L7" t="str">
        <f t="shared" si="0"/>
        <v/>
      </c>
    </row>
    <row r="8" spans="2:14" x14ac:dyDescent="0.25">
      <c r="L8" t="str">
        <f t="shared" si="0"/>
        <v/>
      </c>
    </row>
    <row r="9" spans="2:14" x14ac:dyDescent="0.25">
      <c r="L9" t="str">
        <f t="shared" si="0"/>
        <v/>
      </c>
    </row>
    <row r="10" spans="2:14" x14ac:dyDescent="0.25">
      <c r="L10" t="str">
        <f t="shared" si="0"/>
        <v/>
      </c>
    </row>
    <row r="11" spans="2:14" x14ac:dyDescent="0.25">
      <c r="L11" t="str">
        <f t="shared" si="0"/>
        <v/>
      </c>
    </row>
    <row r="12" spans="2:14" x14ac:dyDescent="0.25">
      <c r="L12" t="str">
        <f t="shared" si="0"/>
        <v/>
      </c>
    </row>
    <row r="13" spans="2:14" x14ac:dyDescent="0.25">
      <c r="L13" t="str">
        <f t="shared" si="0"/>
        <v/>
      </c>
    </row>
    <row r="14" spans="2:14" x14ac:dyDescent="0.25">
      <c r="L14" t="str">
        <f t="shared" si="0"/>
        <v/>
      </c>
    </row>
    <row r="15" spans="2:14" x14ac:dyDescent="0.25">
      <c r="I15" s="67"/>
      <c r="L15" t="str">
        <f t="shared" si="0"/>
        <v/>
      </c>
    </row>
    <row r="16" spans="2:14" x14ac:dyDescent="0.25">
      <c r="I16" s="67"/>
      <c r="L16" t="str">
        <f t="shared" si="0"/>
        <v/>
      </c>
    </row>
    <row r="17" spans="9:12" x14ac:dyDescent="0.25">
      <c r="L17" t="str">
        <f t="shared" si="0"/>
        <v/>
      </c>
    </row>
    <row r="18" spans="9:12" x14ac:dyDescent="0.25">
      <c r="I18" s="67"/>
      <c r="L18" t="str">
        <f t="shared" si="0"/>
        <v/>
      </c>
    </row>
    <row r="19" spans="9:12" x14ac:dyDescent="0.25">
      <c r="I19" s="67"/>
      <c r="L19" t="str">
        <f t="shared" si="0"/>
        <v/>
      </c>
    </row>
    <row r="20" spans="9:12" x14ac:dyDescent="0.25">
      <c r="L20" t="str">
        <f t="shared" si="0"/>
        <v/>
      </c>
    </row>
    <row r="21" spans="9:12" x14ac:dyDescent="0.25">
      <c r="L21" t="str">
        <f t="shared" si="0"/>
        <v/>
      </c>
    </row>
    <row r="22" spans="9:12" x14ac:dyDescent="0.25">
      <c r="L22" t="str">
        <f t="shared" si="0"/>
        <v/>
      </c>
    </row>
    <row r="23" spans="9:12" x14ac:dyDescent="0.25">
      <c r="L23" t="str">
        <f t="shared" si="0"/>
        <v/>
      </c>
    </row>
    <row r="24" spans="9:12" x14ac:dyDescent="0.25">
      <c r="L24" t="str">
        <f t="shared" si="0"/>
        <v/>
      </c>
    </row>
    <row r="25" spans="9:12" x14ac:dyDescent="0.25">
      <c r="L25" t="str">
        <f t="shared" si="0"/>
        <v/>
      </c>
    </row>
    <row r="26" spans="9:12" x14ac:dyDescent="0.25">
      <c r="L26" t="str">
        <f t="shared" si="0"/>
        <v/>
      </c>
    </row>
    <row r="27" spans="9:12" x14ac:dyDescent="0.25">
      <c r="L27" t="str">
        <f t="shared" si="0"/>
        <v/>
      </c>
    </row>
    <row r="28" spans="9:12" x14ac:dyDescent="0.25">
      <c r="I28" s="67"/>
      <c r="L28" t="str">
        <f t="shared" si="0"/>
        <v/>
      </c>
    </row>
    <row r="29" spans="9:12" x14ac:dyDescent="0.25">
      <c r="I29" s="67"/>
      <c r="L29" t="str">
        <f t="shared" si="0"/>
        <v/>
      </c>
    </row>
    <row r="30" spans="9:12" x14ac:dyDescent="0.25">
      <c r="I30" s="67"/>
      <c r="L30" t="str">
        <f t="shared" si="0"/>
        <v/>
      </c>
    </row>
    <row r="31" spans="9:12" x14ac:dyDescent="0.25">
      <c r="L31" t="str">
        <f t="shared" si="0"/>
        <v/>
      </c>
    </row>
    <row r="32" spans="9:12" x14ac:dyDescent="0.25">
      <c r="L32" t="str">
        <f t="shared" si="0"/>
        <v/>
      </c>
    </row>
    <row r="33" spans="9:12" x14ac:dyDescent="0.25">
      <c r="L33" t="str">
        <f t="shared" si="0"/>
        <v/>
      </c>
    </row>
    <row r="34" spans="9:12" x14ac:dyDescent="0.25">
      <c r="L34" t="str">
        <f t="shared" si="0"/>
        <v/>
      </c>
    </row>
    <row r="35" spans="9:12" x14ac:dyDescent="0.25">
      <c r="L35" t="str">
        <f t="shared" si="0"/>
        <v/>
      </c>
    </row>
    <row r="36" spans="9:12" x14ac:dyDescent="0.25">
      <c r="L36" t="str">
        <f t="shared" si="0"/>
        <v/>
      </c>
    </row>
    <row r="37" spans="9:12" x14ac:dyDescent="0.25">
      <c r="I37" s="67"/>
      <c r="L37" t="str">
        <f t="shared" si="0"/>
        <v/>
      </c>
    </row>
    <row r="38" spans="9:12" x14ac:dyDescent="0.25">
      <c r="L38" t="str">
        <f t="shared" si="0"/>
        <v/>
      </c>
    </row>
    <row r="39" spans="9:12" x14ac:dyDescent="0.25">
      <c r="L39" t="str">
        <f t="shared" si="0"/>
        <v/>
      </c>
    </row>
    <row r="40" spans="9:12" x14ac:dyDescent="0.25">
      <c r="L40" t="str">
        <f t="shared" si="0"/>
        <v/>
      </c>
    </row>
    <row r="41" spans="9:12" x14ac:dyDescent="0.25">
      <c r="L41" t="str">
        <f t="shared" si="0"/>
        <v/>
      </c>
    </row>
    <row r="42" spans="9:12" x14ac:dyDescent="0.25">
      <c r="L42" t="str">
        <f t="shared" si="0"/>
        <v/>
      </c>
    </row>
    <row r="43" spans="9:12" x14ac:dyDescent="0.25">
      <c r="I43" s="67"/>
      <c r="L43" t="str">
        <f t="shared" si="0"/>
        <v/>
      </c>
    </row>
    <row r="44" spans="9:12" x14ac:dyDescent="0.25">
      <c r="I44" s="67"/>
      <c r="L44" t="str">
        <f t="shared" si="0"/>
        <v/>
      </c>
    </row>
    <row r="45" spans="9:12" x14ac:dyDescent="0.25">
      <c r="L45" t="str">
        <f t="shared" si="0"/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2A3D8-5B0F-4BC8-8636-EA568245683D}">
  <sheetPr codeName="Planilha5"/>
  <dimension ref="A1:B52"/>
  <sheetViews>
    <sheetView topLeftCell="A25" workbookViewId="0">
      <selection activeCell="B38" sqref="B38"/>
    </sheetView>
  </sheetViews>
  <sheetFormatPr defaultRowHeight="15" x14ac:dyDescent="0.25"/>
  <cols>
    <col min="1" max="1" width="9.140625" style="41"/>
    <col min="2" max="2" width="80.5703125" style="41" bestFit="1" customWidth="1"/>
    <col min="3" max="16384" width="9.140625" style="41"/>
  </cols>
  <sheetData>
    <row r="1" spans="1:2" x14ac:dyDescent="0.25">
      <c r="A1" s="41" t="s">
        <v>653</v>
      </c>
      <c r="B1" s="41" t="s">
        <v>654</v>
      </c>
    </row>
    <row r="2" spans="1:2" x14ac:dyDescent="0.25">
      <c r="A2" s="41" t="s">
        <v>108</v>
      </c>
      <c r="B2" s="41" t="s">
        <v>107</v>
      </c>
    </row>
    <row r="3" spans="1:2" x14ac:dyDescent="0.25">
      <c r="A3" s="41" t="s">
        <v>110</v>
      </c>
      <c r="B3" s="41" t="s">
        <v>109</v>
      </c>
    </row>
    <row r="4" spans="1:2" x14ac:dyDescent="0.25">
      <c r="A4" s="41" t="s">
        <v>112</v>
      </c>
      <c r="B4" s="41" t="s">
        <v>111</v>
      </c>
    </row>
    <row r="5" spans="1:2" x14ac:dyDescent="0.25">
      <c r="A5" s="41" t="s">
        <v>147</v>
      </c>
      <c r="B5" s="41" t="s">
        <v>146</v>
      </c>
    </row>
    <row r="6" spans="1:2" x14ac:dyDescent="0.25">
      <c r="A6" s="41" t="s">
        <v>149</v>
      </c>
      <c r="B6" s="41" t="s">
        <v>148</v>
      </c>
    </row>
    <row r="7" spans="1:2" x14ac:dyDescent="0.25">
      <c r="A7" s="41" t="s">
        <v>151</v>
      </c>
      <c r="B7" s="41" t="s">
        <v>150</v>
      </c>
    </row>
    <row r="8" spans="1:2" x14ac:dyDescent="0.25">
      <c r="A8" s="41" t="s">
        <v>159</v>
      </c>
      <c r="B8" s="41" t="s">
        <v>158</v>
      </c>
    </row>
    <row r="9" spans="1:2" x14ac:dyDescent="0.25">
      <c r="A9" s="41" t="s">
        <v>161</v>
      </c>
      <c r="B9" s="41" t="s">
        <v>160</v>
      </c>
    </row>
    <row r="10" spans="1:2" x14ac:dyDescent="0.25">
      <c r="A10" s="41" t="s">
        <v>163</v>
      </c>
      <c r="B10" s="41" t="s">
        <v>162</v>
      </c>
    </row>
    <row r="11" spans="1:2" x14ac:dyDescent="0.25">
      <c r="A11" s="41" t="s">
        <v>165</v>
      </c>
      <c r="B11" s="41" t="s">
        <v>164</v>
      </c>
    </row>
    <row r="12" spans="1:2" x14ac:dyDescent="0.25">
      <c r="A12" s="41" t="s">
        <v>167</v>
      </c>
      <c r="B12" s="41" t="s">
        <v>166</v>
      </c>
    </row>
    <row r="13" spans="1:2" x14ac:dyDescent="0.25">
      <c r="A13" s="41" t="s">
        <v>169</v>
      </c>
      <c r="B13" s="41" t="s">
        <v>168</v>
      </c>
    </row>
    <row r="14" spans="1:2" x14ac:dyDescent="0.25">
      <c r="A14" s="41" t="s">
        <v>186</v>
      </c>
      <c r="B14" s="41" t="s">
        <v>185</v>
      </c>
    </row>
    <row r="15" spans="1:2" x14ac:dyDescent="0.25">
      <c r="A15" s="41" t="s">
        <v>188</v>
      </c>
      <c r="B15" s="41" t="s">
        <v>187</v>
      </c>
    </row>
    <row r="16" spans="1:2" x14ac:dyDescent="0.25">
      <c r="A16" s="41" t="s">
        <v>190</v>
      </c>
      <c r="B16" s="41" t="s">
        <v>189</v>
      </c>
    </row>
    <row r="17" spans="1:2" x14ac:dyDescent="0.25">
      <c r="A17" s="41" t="s">
        <v>210</v>
      </c>
      <c r="B17" s="41" t="s">
        <v>209</v>
      </c>
    </row>
    <row r="18" spans="1:2" x14ac:dyDescent="0.25">
      <c r="A18" s="41" t="s">
        <v>212</v>
      </c>
      <c r="B18" s="41" t="s">
        <v>211</v>
      </c>
    </row>
    <row r="19" spans="1:2" x14ac:dyDescent="0.25">
      <c r="A19" s="41" t="s">
        <v>214</v>
      </c>
      <c r="B19" s="41" t="s">
        <v>213</v>
      </c>
    </row>
    <row r="20" spans="1:2" x14ac:dyDescent="0.25">
      <c r="A20" s="41" t="s">
        <v>246</v>
      </c>
      <c r="B20" s="41" t="s">
        <v>245</v>
      </c>
    </row>
    <row r="21" spans="1:2" x14ac:dyDescent="0.25">
      <c r="A21" s="41" t="s">
        <v>248</v>
      </c>
      <c r="B21" s="41" t="s">
        <v>247</v>
      </c>
    </row>
    <row r="22" spans="1:2" x14ac:dyDescent="0.25">
      <c r="A22" s="41" t="s">
        <v>250</v>
      </c>
      <c r="B22" s="41" t="s">
        <v>249</v>
      </c>
    </row>
    <row r="23" spans="1:2" x14ac:dyDescent="0.25">
      <c r="A23" s="41" t="s">
        <v>347</v>
      </c>
      <c r="B23" s="41" t="s">
        <v>346</v>
      </c>
    </row>
    <row r="24" spans="1:2" x14ac:dyDescent="0.25">
      <c r="A24" s="41" t="s">
        <v>349</v>
      </c>
      <c r="B24" s="41" t="s">
        <v>348</v>
      </c>
    </row>
    <row r="25" spans="1:2" x14ac:dyDescent="0.25">
      <c r="A25" s="41" t="s">
        <v>351</v>
      </c>
      <c r="B25" s="41" t="s">
        <v>350</v>
      </c>
    </row>
    <row r="26" spans="1:2" x14ac:dyDescent="0.25">
      <c r="A26" s="41" t="s">
        <v>368</v>
      </c>
      <c r="B26" s="41" t="s">
        <v>367</v>
      </c>
    </row>
    <row r="27" spans="1:2" x14ac:dyDescent="0.25">
      <c r="A27" s="41" t="s">
        <v>370</v>
      </c>
      <c r="B27" s="41" t="s">
        <v>369</v>
      </c>
    </row>
    <row r="28" spans="1:2" x14ac:dyDescent="0.25">
      <c r="A28" s="41" t="s">
        <v>372</v>
      </c>
      <c r="B28" s="41" t="s">
        <v>371</v>
      </c>
    </row>
    <row r="29" spans="1:2" x14ac:dyDescent="0.25">
      <c r="A29" s="41" t="s">
        <v>485</v>
      </c>
      <c r="B29" s="41" t="s">
        <v>484</v>
      </c>
    </row>
    <row r="30" spans="1:2" x14ac:dyDescent="0.25">
      <c r="A30" s="41" t="s">
        <v>487</v>
      </c>
      <c r="B30" s="41" t="s">
        <v>486</v>
      </c>
    </row>
    <row r="31" spans="1:2" x14ac:dyDescent="0.25">
      <c r="A31" s="41" t="s">
        <v>489</v>
      </c>
      <c r="B31" s="41" t="s">
        <v>488</v>
      </c>
    </row>
    <row r="32" spans="1:2" x14ac:dyDescent="0.25">
      <c r="A32" s="41" t="s">
        <v>491</v>
      </c>
      <c r="B32" s="41" t="s">
        <v>490</v>
      </c>
    </row>
    <row r="33" spans="1:2" x14ac:dyDescent="0.25">
      <c r="A33" s="41" t="s">
        <v>493</v>
      </c>
      <c r="B33" s="41" t="s">
        <v>492</v>
      </c>
    </row>
    <row r="34" spans="1:2" x14ac:dyDescent="0.25">
      <c r="A34" s="41" t="s">
        <v>495</v>
      </c>
      <c r="B34" s="41" t="s">
        <v>494</v>
      </c>
    </row>
    <row r="35" spans="1:2" x14ac:dyDescent="0.25">
      <c r="A35" s="41" t="s">
        <v>509</v>
      </c>
      <c r="B35" s="41" t="s">
        <v>508</v>
      </c>
    </row>
    <row r="36" spans="1:2" x14ac:dyDescent="0.25">
      <c r="A36" s="41" t="s">
        <v>511</v>
      </c>
      <c r="B36" s="41" t="s">
        <v>510</v>
      </c>
    </row>
    <row r="37" spans="1:2" x14ac:dyDescent="0.25">
      <c r="A37" s="41" t="s">
        <v>513</v>
      </c>
      <c r="B37" s="41" t="s">
        <v>512</v>
      </c>
    </row>
    <row r="38" spans="1:2" x14ac:dyDescent="0.25">
      <c r="A38" s="41" t="s">
        <v>526</v>
      </c>
      <c r="B38" s="41" t="s">
        <v>525</v>
      </c>
    </row>
    <row r="39" spans="1:2" x14ac:dyDescent="0.25">
      <c r="A39" s="41" t="s">
        <v>528</v>
      </c>
      <c r="B39" s="41" t="s">
        <v>527</v>
      </c>
    </row>
    <row r="40" spans="1:2" x14ac:dyDescent="0.25">
      <c r="A40" s="41" t="s">
        <v>530</v>
      </c>
      <c r="B40" s="41" t="s">
        <v>529</v>
      </c>
    </row>
    <row r="41" spans="1:2" x14ac:dyDescent="0.25">
      <c r="A41" s="41" t="s">
        <v>553</v>
      </c>
      <c r="B41" s="41" t="s">
        <v>552</v>
      </c>
    </row>
    <row r="42" spans="1:2" x14ac:dyDescent="0.25">
      <c r="A42" s="41" t="s">
        <v>555</v>
      </c>
      <c r="B42" s="41" t="s">
        <v>554</v>
      </c>
    </row>
    <row r="43" spans="1:2" x14ac:dyDescent="0.25">
      <c r="A43" s="41" t="s">
        <v>557</v>
      </c>
      <c r="B43" s="41" t="s">
        <v>556</v>
      </c>
    </row>
    <row r="44" spans="1:2" x14ac:dyDescent="0.25">
      <c r="A44" s="41" t="s">
        <v>565</v>
      </c>
      <c r="B44" s="41" t="s">
        <v>564</v>
      </c>
    </row>
    <row r="45" spans="1:2" x14ac:dyDescent="0.25">
      <c r="A45" s="41" t="s">
        <v>567</v>
      </c>
      <c r="B45" s="41" t="s">
        <v>566</v>
      </c>
    </row>
    <row r="46" spans="1:2" x14ac:dyDescent="0.25">
      <c r="A46" s="41" t="s">
        <v>569</v>
      </c>
      <c r="B46" s="41" t="s">
        <v>568</v>
      </c>
    </row>
    <row r="47" spans="1:2" x14ac:dyDescent="0.25">
      <c r="A47" s="41" t="s">
        <v>571</v>
      </c>
      <c r="B47" s="41" t="s">
        <v>570</v>
      </c>
    </row>
    <row r="48" spans="1:2" x14ac:dyDescent="0.25">
      <c r="A48" s="41" t="s">
        <v>573</v>
      </c>
      <c r="B48" s="41" t="s">
        <v>572</v>
      </c>
    </row>
    <row r="49" spans="1:2" x14ac:dyDescent="0.25">
      <c r="A49" s="41" t="s">
        <v>575</v>
      </c>
      <c r="B49" s="41" t="s">
        <v>574</v>
      </c>
    </row>
    <row r="50" spans="1:2" x14ac:dyDescent="0.25">
      <c r="A50" s="41" t="s">
        <v>591</v>
      </c>
      <c r="B50" s="41" t="s">
        <v>590</v>
      </c>
    </row>
    <row r="51" spans="1:2" x14ac:dyDescent="0.25">
      <c r="A51" s="41" t="s">
        <v>593</v>
      </c>
      <c r="B51" s="41" t="s">
        <v>592</v>
      </c>
    </row>
    <row r="52" spans="1:2" x14ac:dyDescent="0.25">
      <c r="A52" s="41" t="s">
        <v>595</v>
      </c>
      <c r="B52" s="41" t="s">
        <v>594</v>
      </c>
    </row>
  </sheetData>
  <autoFilter ref="A1:B52" xr:uid="{C00F737D-4593-41C1-BA4B-EED60390E114}">
    <sortState xmlns:xlrd2="http://schemas.microsoft.com/office/spreadsheetml/2017/richdata2" ref="A2:B52">
      <sortCondition ref="A1:A52"/>
    </sortState>
  </autoFilter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3A771-668C-4F81-A0EC-ED94445144F2}">
  <sheetPr codeName="Planilha6"/>
  <dimension ref="A1:E166"/>
  <sheetViews>
    <sheetView topLeftCell="A148" zoomScale="70" zoomScaleNormal="70" workbookViewId="0">
      <selection activeCell="E2" sqref="E2:E166"/>
    </sheetView>
  </sheetViews>
  <sheetFormatPr defaultRowHeight="15" x14ac:dyDescent="0.25"/>
  <cols>
    <col min="1" max="1" width="13.140625" bestFit="1" customWidth="1"/>
    <col min="2" max="2" width="119.7109375" bestFit="1" customWidth="1"/>
    <col min="3" max="3" width="13.5703125" bestFit="1" customWidth="1"/>
    <col min="4" max="4" width="107.140625" bestFit="1" customWidth="1"/>
  </cols>
  <sheetData>
    <row r="1" spans="1:5" x14ac:dyDescent="0.25">
      <c r="A1" t="s">
        <v>659</v>
      </c>
      <c r="B1" t="s">
        <v>660</v>
      </c>
      <c r="C1" t="s">
        <v>661</v>
      </c>
      <c r="D1" t="s">
        <v>662</v>
      </c>
      <c r="E1" s="16" t="s">
        <v>1057</v>
      </c>
    </row>
    <row r="2" spans="1:5" x14ac:dyDescent="0.25">
      <c r="A2" s="16" t="s">
        <v>663</v>
      </c>
      <c r="B2" s="16" t="s">
        <v>664</v>
      </c>
      <c r="C2" s="16" t="s">
        <v>665</v>
      </c>
      <c r="D2" t="s">
        <v>44</v>
      </c>
      <c r="E2" t="str">
        <f>VLOOKUP(C2,'[2]Controle Locação em Estoque'!$B$7:$G$77,6,FALSE)</f>
        <v>A3</v>
      </c>
    </row>
    <row r="3" spans="1:5" x14ac:dyDescent="0.25">
      <c r="A3" t="s">
        <v>666</v>
      </c>
      <c r="B3" t="s">
        <v>667</v>
      </c>
      <c r="C3" t="s">
        <v>668</v>
      </c>
      <c r="D3" t="s">
        <v>46</v>
      </c>
      <c r="E3" t="str">
        <f>VLOOKUP(C3,'[2]Controle Locação em Estoque'!$B$7:$G$77,6,FALSE)</f>
        <v>A6</v>
      </c>
    </row>
    <row r="4" spans="1:5" x14ac:dyDescent="0.25">
      <c r="A4" t="s">
        <v>669</v>
      </c>
      <c r="B4" t="s">
        <v>670</v>
      </c>
      <c r="C4" t="s">
        <v>671</v>
      </c>
      <c r="D4" t="s">
        <v>48</v>
      </c>
      <c r="E4" t="str">
        <f>VLOOKUP(C4,'[2]Controle Locação em Estoque'!$B$7:$G$77,6,FALSE)</f>
        <v>A1</v>
      </c>
    </row>
    <row r="5" spans="1:5" x14ac:dyDescent="0.25">
      <c r="A5" t="s">
        <v>672</v>
      </c>
      <c r="B5" t="s">
        <v>673</v>
      </c>
      <c r="C5" t="s">
        <v>665</v>
      </c>
      <c r="D5" t="s">
        <v>50</v>
      </c>
      <c r="E5" t="str">
        <f>VLOOKUP(C5,'[2]Controle Locação em Estoque'!$B$7:$G$77,6,FALSE)</f>
        <v>A3</v>
      </c>
    </row>
    <row r="6" spans="1:5" x14ac:dyDescent="0.25">
      <c r="A6" t="s">
        <v>674</v>
      </c>
      <c r="B6" t="s">
        <v>675</v>
      </c>
      <c r="C6" t="s">
        <v>668</v>
      </c>
      <c r="D6" t="s">
        <v>52</v>
      </c>
      <c r="E6" t="str">
        <f>VLOOKUP(C6,'[2]Controle Locação em Estoque'!$B$7:$G$77,6,FALSE)</f>
        <v>A6</v>
      </c>
    </row>
    <row r="7" spans="1:5" x14ac:dyDescent="0.25">
      <c r="A7" t="s">
        <v>676</v>
      </c>
      <c r="B7" t="s">
        <v>677</v>
      </c>
      <c r="C7" t="s">
        <v>671</v>
      </c>
      <c r="D7" t="s">
        <v>54</v>
      </c>
      <c r="E7" t="str">
        <f>VLOOKUP(C7,'[2]Controle Locação em Estoque'!$B$7:$G$77,6,FALSE)</f>
        <v>A1</v>
      </c>
    </row>
    <row r="8" spans="1:5" x14ac:dyDescent="0.25">
      <c r="A8" t="s">
        <v>678</v>
      </c>
      <c r="B8" t="s">
        <v>679</v>
      </c>
      <c r="C8" t="s">
        <v>665</v>
      </c>
      <c r="D8" t="s">
        <v>122</v>
      </c>
      <c r="E8" t="str">
        <f>VLOOKUP(C8,'[2]Controle Locação em Estoque'!$B$7:$G$77,6,FALSE)</f>
        <v>A3</v>
      </c>
    </row>
    <row r="9" spans="1:5" x14ac:dyDescent="0.25">
      <c r="A9" t="s">
        <v>680</v>
      </c>
      <c r="B9" t="s">
        <v>681</v>
      </c>
      <c r="C9" t="s">
        <v>668</v>
      </c>
      <c r="D9" t="s">
        <v>124</v>
      </c>
      <c r="E9" t="str">
        <f>VLOOKUP(C9,'[2]Controle Locação em Estoque'!$B$7:$G$77,6,FALSE)</f>
        <v>A6</v>
      </c>
    </row>
    <row r="10" spans="1:5" x14ac:dyDescent="0.25">
      <c r="A10" t="s">
        <v>682</v>
      </c>
      <c r="B10" t="s">
        <v>683</v>
      </c>
      <c r="C10" t="s">
        <v>671</v>
      </c>
      <c r="D10" t="s">
        <v>126</v>
      </c>
      <c r="E10" t="str">
        <f>VLOOKUP(C10,'[2]Controle Locação em Estoque'!$B$7:$G$77,6,FALSE)</f>
        <v>A1</v>
      </c>
    </row>
    <row r="11" spans="1:5" x14ac:dyDescent="0.25">
      <c r="A11" t="s">
        <v>684</v>
      </c>
      <c r="B11" t="s">
        <v>685</v>
      </c>
      <c r="C11" t="s">
        <v>665</v>
      </c>
      <c r="D11" t="s">
        <v>128</v>
      </c>
      <c r="E11" t="str">
        <f>VLOOKUP(C11,'[2]Controle Locação em Estoque'!$B$7:$G$77,6,FALSE)</f>
        <v>A3</v>
      </c>
    </row>
    <row r="12" spans="1:5" x14ac:dyDescent="0.25">
      <c r="A12" t="s">
        <v>686</v>
      </c>
      <c r="B12" t="s">
        <v>687</v>
      </c>
      <c r="C12" t="s">
        <v>668</v>
      </c>
      <c r="D12" t="s">
        <v>130</v>
      </c>
      <c r="E12" t="str">
        <f>VLOOKUP(C12,'[2]Controle Locação em Estoque'!$B$7:$G$77,6,FALSE)</f>
        <v>A6</v>
      </c>
    </row>
    <row r="13" spans="1:5" x14ac:dyDescent="0.25">
      <c r="A13" t="s">
        <v>688</v>
      </c>
      <c r="B13" t="s">
        <v>689</v>
      </c>
      <c r="C13" t="s">
        <v>671</v>
      </c>
      <c r="D13" t="s">
        <v>132</v>
      </c>
      <c r="E13" t="str">
        <f>VLOOKUP(C13,'[2]Controle Locação em Estoque'!$B$7:$G$77,6,FALSE)</f>
        <v>A1</v>
      </c>
    </row>
    <row r="14" spans="1:5" x14ac:dyDescent="0.25">
      <c r="A14" t="s">
        <v>690</v>
      </c>
      <c r="B14" t="s">
        <v>691</v>
      </c>
      <c r="C14" t="s">
        <v>665</v>
      </c>
      <c r="D14" t="s">
        <v>284</v>
      </c>
      <c r="E14" t="str">
        <f>VLOOKUP(C14,'[2]Controle Locação em Estoque'!$B$7:$G$77,6,FALSE)</f>
        <v>A3</v>
      </c>
    </row>
    <row r="15" spans="1:5" x14ac:dyDescent="0.25">
      <c r="A15" t="s">
        <v>692</v>
      </c>
      <c r="B15" t="s">
        <v>693</v>
      </c>
      <c r="C15" t="s">
        <v>668</v>
      </c>
      <c r="D15" t="s">
        <v>286</v>
      </c>
      <c r="E15" t="str">
        <f>VLOOKUP(C15,'[2]Controle Locação em Estoque'!$B$7:$G$77,6,FALSE)</f>
        <v>A6</v>
      </c>
    </row>
    <row r="16" spans="1:5" x14ac:dyDescent="0.25">
      <c r="A16" t="s">
        <v>694</v>
      </c>
      <c r="B16" t="s">
        <v>695</v>
      </c>
      <c r="C16" t="s">
        <v>671</v>
      </c>
      <c r="D16" t="s">
        <v>288</v>
      </c>
      <c r="E16" t="str">
        <f>VLOOKUP(C16,'[2]Controle Locação em Estoque'!$B$7:$G$77,6,FALSE)</f>
        <v>A1</v>
      </c>
    </row>
    <row r="17" spans="1:5" x14ac:dyDescent="0.25">
      <c r="A17" t="s">
        <v>696</v>
      </c>
      <c r="B17" t="s">
        <v>697</v>
      </c>
      <c r="C17" t="s">
        <v>665</v>
      </c>
      <c r="D17" t="s">
        <v>331</v>
      </c>
      <c r="E17" t="str">
        <f>VLOOKUP(C17,'[2]Controle Locação em Estoque'!$B$7:$G$77,6,FALSE)</f>
        <v>A3</v>
      </c>
    </row>
    <row r="18" spans="1:5" x14ac:dyDescent="0.25">
      <c r="A18" t="s">
        <v>698</v>
      </c>
      <c r="B18" t="s">
        <v>699</v>
      </c>
      <c r="C18" t="s">
        <v>668</v>
      </c>
      <c r="D18" t="s">
        <v>333</v>
      </c>
      <c r="E18" t="str">
        <f>VLOOKUP(C18,'[2]Controle Locação em Estoque'!$B$7:$G$77,6,FALSE)</f>
        <v>A6</v>
      </c>
    </row>
    <row r="19" spans="1:5" x14ac:dyDescent="0.25">
      <c r="A19" t="s">
        <v>700</v>
      </c>
      <c r="B19" t="s">
        <v>701</v>
      </c>
      <c r="C19" t="s">
        <v>671</v>
      </c>
      <c r="D19" t="s">
        <v>335</v>
      </c>
      <c r="E19" t="str">
        <f>VLOOKUP(C19,'[2]Controle Locação em Estoque'!$B$7:$G$77,6,FALSE)</f>
        <v>A1</v>
      </c>
    </row>
    <row r="20" spans="1:5" x14ac:dyDescent="0.25">
      <c r="A20" t="s">
        <v>702</v>
      </c>
      <c r="B20" t="s">
        <v>703</v>
      </c>
      <c r="C20" t="s">
        <v>665</v>
      </c>
      <c r="D20" t="s">
        <v>704</v>
      </c>
      <c r="E20" t="str">
        <f>VLOOKUP(C20,'[2]Controle Locação em Estoque'!$B$7:$G$77,6,FALSE)</f>
        <v>A3</v>
      </c>
    </row>
    <row r="21" spans="1:5" x14ac:dyDescent="0.25">
      <c r="A21" t="s">
        <v>705</v>
      </c>
      <c r="B21" t="s">
        <v>706</v>
      </c>
      <c r="C21" t="s">
        <v>668</v>
      </c>
      <c r="D21" t="s">
        <v>707</v>
      </c>
      <c r="E21" t="str">
        <f>VLOOKUP(C21,'[2]Controle Locação em Estoque'!$B$7:$G$77,6,FALSE)</f>
        <v>A6</v>
      </c>
    </row>
    <row r="22" spans="1:5" x14ac:dyDescent="0.25">
      <c r="A22" t="s">
        <v>708</v>
      </c>
      <c r="B22" t="s">
        <v>709</v>
      </c>
      <c r="C22" t="s">
        <v>671</v>
      </c>
      <c r="D22" t="s">
        <v>710</v>
      </c>
      <c r="E22" t="str">
        <f>VLOOKUP(C22,'[2]Controle Locação em Estoque'!$B$7:$G$77,6,FALSE)</f>
        <v>A1</v>
      </c>
    </row>
    <row r="23" spans="1:5" x14ac:dyDescent="0.25">
      <c r="A23" t="s">
        <v>711</v>
      </c>
      <c r="B23" t="s">
        <v>712</v>
      </c>
      <c r="C23" t="s">
        <v>713</v>
      </c>
      <c r="D23" t="s">
        <v>714</v>
      </c>
      <c r="E23" t="str">
        <f>VLOOKUP(C23,'[2]Controle Locação em Estoque'!$B$7:$G$77,6,FALSE)</f>
        <v>A8E</v>
      </c>
    </row>
    <row r="24" spans="1:5" x14ac:dyDescent="0.25">
      <c r="A24" t="s">
        <v>715</v>
      </c>
      <c r="B24" t="s">
        <v>716</v>
      </c>
      <c r="C24" t="s">
        <v>717</v>
      </c>
      <c r="D24" t="s">
        <v>718</v>
      </c>
      <c r="E24" t="str">
        <f>VLOOKUP(C24,'[2]Controle Locação em Estoque'!$B$7:$G$77,6,FALSE)</f>
        <v>B1D</v>
      </c>
    </row>
    <row r="25" spans="1:5" x14ac:dyDescent="0.25">
      <c r="A25" t="s">
        <v>719</v>
      </c>
      <c r="B25" t="s">
        <v>720</v>
      </c>
      <c r="C25" t="s">
        <v>721</v>
      </c>
      <c r="D25" t="s">
        <v>722</v>
      </c>
      <c r="E25" t="str">
        <f>VLOOKUP(C25,'[2]Controle Locação em Estoque'!$B$7:$G$77,6,FALSE)</f>
        <v>A8D</v>
      </c>
    </row>
    <row r="26" spans="1:5" x14ac:dyDescent="0.25">
      <c r="A26" t="s">
        <v>723</v>
      </c>
      <c r="B26" t="s">
        <v>724</v>
      </c>
      <c r="C26" t="s">
        <v>725</v>
      </c>
      <c r="D26" t="s">
        <v>3</v>
      </c>
      <c r="E26" t="str">
        <f>VLOOKUP(C26,'[2]Controle Locação em Estoque'!$B$7:$G$77,6,FALSE)</f>
        <v>B2</v>
      </c>
    </row>
    <row r="27" spans="1:5" x14ac:dyDescent="0.25">
      <c r="A27" t="s">
        <v>726</v>
      </c>
      <c r="B27" t="s">
        <v>727</v>
      </c>
      <c r="C27" t="s">
        <v>728</v>
      </c>
      <c r="D27" t="s">
        <v>56</v>
      </c>
      <c r="E27" t="e">
        <f>VLOOKUP(C27,'[2]Controle Locação em Estoque'!$B$7:$G$77,6,FALSE)</f>
        <v>#N/A</v>
      </c>
    </row>
    <row r="28" spans="1:5" x14ac:dyDescent="0.25">
      <c r="A28" t="s">
        <v>729</v>
      </c>
      <c r="B28" t="s">
        <v>730</v>
      </c>
      <c r="C28" t="s">
        <v>731</v>
      </c>
      <c r="D28" t="s">
        <v>58</v>
      </c>
      <c r="E28" t="e">
        <f>VLOOKUP(C28,'[2]Controle Locação em Estoque'!$B$7:$G$77,6,FALSE)</f>
        <v>#N/A</v>
      </c>
    </row>
    <row r="29" spans="1:5" x14ac:dyDescent="0.25">
      <c r="A29" t="s">
        <v>732</v>
      </c>
      <c r="B29" t="s">
        <v>733</v>
      </c>
      <c r="C29" t="s">
        <v>725</v>
      </c>
      <c r="D29" t="s">
        <v>436</v>
      </c>
      <c r="E29" t="str">
        <f>VLOOKUP(C29,'[2]Controle Locação em Estoque'!$B$7:$G$77,6,FALSE)</f>
        <v>B2</v>
      </c>
    </row>
    <row r="30" spans="1:5" x14ac:dyDescent="0.25">
      <c r="A30" t="s">
        <v>734</v>
      </c>
      <c r="B30" t="s">
        <v>735</v>
      </c>
      <c r="C30" t="s">
        <v>728</v>
      </c>
      <c r="D30" t="s">
        <v>438</v>
      </c>
      <c r="E30" t="e">
        <f>VLOOKUP(C30,'[2]Controle Locação em Estoque'!$B$7:$G$77,6,FALSE)</f>
        <v>#N/A</v>
      </c>
    </row>
    <row r="31" spans="1:5" x14ac:dyDescent="0.25">
      <c r="A31" t="s">
        <v>736</v>
      </c>
      <c r="B31" t="s">
        <v>737</v>
      </c>
      <c r="C31" t="s">
        <v>731</v>
      </c>
      <c r="D31" t="s">
        <v>440</v>
      </c>
      <c r="E31" t="e">
        <f>VLOOKUP(C31,'[2]Controle Locação em Estoque'!$B$7:$G$77,6,FALSE)</f>
        <v>#N/A</v>
      </c>
    </row>
    <row r="32" spans="1:5" x14ac:dyDescent="0.25">
      <c r="A32" t="s">
        <v>738</v>
      </c>
      <c r="B32" t="s">
        <v>739</v>
      </c>
      <c r="C32" t="s">
        <v>725</v>
      </c>
      <c r="D32" t="s">
        <v>442</v>
      </c>
      <c r="E32" t="str">
        <f>VLOOKUP(C32,'[2]Controle Locação em Estoque'!$B$7:$G$77,6,FALSE)</f>
        <v>B2</v>
      </c>
    </row>
    <row r="33" spans="1:5" x14ac:dyDescent="0.25">
      <c r="A33" t="s">
        <v>740</v>
      </c>
      <c r="B33" t="s">
        <v>741</v>
      </c>
      <c r="C33" t="s">
        <v>728</v>
      </c>
      <c r="D33" t="s">
        <v>444</v>
      </c>
      <c r="E33" t="e">
        <f>VLOOKUP(C33,'[2]Controle Locação em Estoque'!$B$7:$G$77,6,FALSE)</f>
        <v>#N/A</v>
      </c>
    </row>
    <row r="34" spans="1:5" x14ac:dyDescent="0.25">
      <c r="A34" t="s">
        <v>742</v>
      </c>
      <c r="B34" t="s">
        <v>743</v>
      </c>
      <c r="C34" t="s">
        <v>731</v>
      </c>
      <c r="D34" t="s">
        <v>446</v>
      </c>
      <c r="E34" t="e">
        <f>VLOOKUP(C34,'[2]Controle Locação em Estoque'!$B$7:$G$77,6,FALSE)</f>
        <v>#N/A</v>
      </c>
    </row>
    <row r="35" spans="1:5" x14ac:dyDescent="0.25">
      <c r="A35" t="s">
        <v>744</v>
      </c>
      <c r="B35" t="s">
        <v>745</v>
      </c>
      <c r="C35" t="s">
        <v>746</v>
      </c>
      <c r="D35" t="s">
        <v>260</v>
      </c>
      <c r="E35" t="str">
        <f>VLOOKUP(C35,'[2]Controle Locação em Estoque'!$B$7:$G$77,6,FALSE)</f>
        <v>B5</v>
      </c>
    </row>
    <row r="36" spans="1:5" x14ac:dyDescent="0.25">
      <c r="A36" t="s">
        <v>747</v>
      </c>
      <c r="B36" t="s">
        <v>748</v>
      </c>
      <c r="C36" t="s">
        <v>749</v>
      </c>
      <c r="D36" t="s">
        <v>262</v>
      </c>
      <c r="E36" t="e">
        <f>VLOOKUP(C36,'[2]Controle Locação em Estoque'!$B$7:$G$77,6,FALSE)</f>
        <v>#N/A</v>
      </c>
    </row>
    <row r="37" spans="1:5" x14ac:dyDescent="0.25">
      <c r="A37" t="s">
        <v>750</v>
      </c>
      <c r="B37" t="s">
        <v>751</v>
      </c>
      <c r="C37" t="s">
        <v>752</v>
      </c>
      <c r="D37" t="s">
        <v>264</v>
      </c>
      <c r="E37" t="str">
        <f>VLOOKUP(C37,'[2]Controle Locação em Estoque'!$B$7:$G$77,6,FALSE)</f>
        <v>B4</v>
      </c>
    </row>
    <row r="38" spans="1:5" x14ac:dyDescent="0.25">
      <c r="A38" t="s">
        <v>753</v>
      </c>
      <c r="B38" t="s">
        <v>754</v>
      </c>
      <c r="C38" t="s">
        <v>746</v>
      </c>
      <c r="D38" t="s">
        <v>278</v>
      </c>
      <c r="E38" t="str">
        <f>VLOOKUP(C38,'[2]Controle Locação em Estoque'!$B$7:$G$77,6,FALSE)</f>
        <v>B5</v>
      </c>
    </row>
    <row r="39" spans="1:5" x14ac:dyDescent="0.25">
      <c r="A39" t="s">
        <v>755</v>
      </c>
      <c r="B39" t="s">
        <v>756</v>
      </c>
      <c r="C39" t="s">
        <v>749</v>
      </c>
      <c r="D39" t="s">
        <v>280</v>
      </c>
      <c r="E39" t="e">
        <f>VLOOKUP(C39,'[2]Controle Locação em Estoque'!$B$7:$G$77,6,FALSE)</f>
        <v>#N/A</v>
      </c>
    </row>
    <row r="40" spans="1:5" x14ac:dyDescent="0.25">
      <c r="A40" t="s">
        <v>757</v>
      </c>
      <c r="B40" t="s">
        <v>758</v>
      </c>
      <c r="C40" t="s">
        <v>752</v>
      </c>
      <c r="D40" t="s">
        <v>282</v>
      </c>
      <c r="E40" t="str">
        <f>VLOOKUP(C40,'[2]Controle Locação em Estoque'!$B$7:$G$77,6,FALSE)</f>
        <v>B4</v>
      </c>
    </row>
    <row r="41" spans="1:5" x14ac:dyDescent="0.25">
      <c r="A41" t="s">
        <v>759</v>
      </c>
      <c r="B41" t="s">
        <v>760</v>
      </c>
      <c r="C41" t="s">
        <v>746</v>
      </c>
      <c r="D41" t="s">
        <v>310</v>
      </c>
      <c r="E41" t="str">
        <f>VLOOKUP(C41,'[2]Controle Locação em Estoque'!$B$7:$G$77,6,FALSE)</f>
        <v>B5</v>
      </c>
    </row>
    <row r="42" spans="1:5" x14ac:dyDescent="0.25">
      <c r="A42" t="s">
        <v>761</v>
      </c>
      <c r="B42" t="s">
        <v>762</v>
      </c>
      <c r="C42" t="s">
        <v>749</v>
      </c>
      <c r="D42" t="s">
        <v>312</v>
      </c>
      <c r="E42" t="e">
        <f>VLOOKUP(C42,'[2]Controle Locação em Estoque'!$B$7:$G$77,6,FALSE)</f>
        <v>#N/A</v>
      </c>
    </row>
    <row r="43" spans="1:5" x14ac:dyDescent="0.25">
      <c r="A43" t="s">
        <v>763</v>
      </c>
      <c r="B43" t="s">
        <v>764</v>
      </c>
      <c r="C43" t="s">
        <v>752</v>
      </c>
      <c r="D43" t="s">
        <v>314</v>
      </c>
      <c r="E43" t="str">
        <f>VLOOKUP(C43,'[2]Controle Locação em Estoque'!$B$7:$G$77,6,FALSE)</f>
        <v>B4</v>
      </c>
    </row>
    <row r="44" spans="1:5" x14ac:dyDescent="0.25">
      <c r="A44" t="s">
        <v>765</v>
      </c>
      <c r="B44" t="s">
        <v>766</v>
      </c>
      <c r="C44" t="s">
        <v>767</v>
      </c>
      <c r="D44" t="s">
        <v>78</v>
      </c>
      <c r="E44" t="str">
        <f>VLOOKUP(C44,'[2]Controle Locação em Estoque'!$B$7:$G$77,6,FALSE)</f>
        <v>B8</v>
      </c>
    </row>
    <row r="45" spans="1:5" x14ac:dyDescent="0.25">
      <c r="A45" t="s">
        <v>768</v>
      </c>
      <c r="B45" t="s">
        <v>769</v>
      </c>
      <c r="C45" t="s">
        <v>770</v>
      </c>
      <c r="D45" t="s">
        <v>80</v>
      </c>
      <c r="E45" t="str">
        <f>VLOOKUP(C45,'[2]Controle Locação em Estoque'!$B$7:$G$77,6,FALSE)</f>
        <v>C1E</v>
      </c>
    </row>
    <row r="46" spans="1:5" x14ac:dyDescent="0.25">
      <c r="A46" t="s">
        <v>771</v>
      </c>
      <c r="B46" t="s">
        <v>772</v>
      </c>
      <c r="C46" t="s">
        <v>773</v>
      </c>
      <c r="D46" t="s">
        <v>82</v>
      </c>
      <c r="E46" t="str">
        <f>VLOOKUP(C46,'[2]Controle Locação em Estoque'!$B$7:$G$77,6,FALSE)</f>
        <v>B6</v>
      </c>
    </row>
    <row r="47" spans="1:5" x14ac:dyDescent="0.25">
      <c r="A47" t="s">
        <v>774</v>
      </c>
      <c r="B47" t="s">
        <v>775</v>
      </c>
      <c r="C47" t="s">
        <v>767</v>
      </c>
      <c r="D47" t="s">
        <v>233</v>
      </c>
      <c r="E47" t="str">
        <f>VLOOKUP(C47,'[2]Controle Locação em Estoque'!$B$7:$G$77,6,FALSE)</f>
        <v>B8</v>
      </c>
    </row>
    <row r="48" spans="1:5" x14ac:dyDescent="0.25">
      <c r="A48" t="s">
        <v>776</v>
      </c>
      <c r="B48" t="s">
        <v>777</v>
      </c>
      <c r="C48" t="s">
        <v>770</v>
      </c>
      <c r="D48" t="s">
        <v>235</v>
      </c>
      <c r="E48" t="str">
        <f>VLOOKUP(C48,'[2]Controle Locação em Estoque'!$B$7:$G$77,6,FALSE)</f>
        <v>C1E</v>
      </c>
    </row>
    <row r="49" spans="1:5" x14ac:dyDescent="0.25">
      <c r="A49" t="s">
        <v>778</v>
      </c>
      <c r="B49" t="s">
        <v>779</v>
      </c>
      <c r="C49" t="s">
        <v>773</v>
      </c>
      <c r="D49" t="s">
        <v>237</v>
      </c>
      <c r="E49" t="str">
        <f>VLOOKUP(C49,'[2]Controle Locação em Estoque'!$B$7:$G$77,6,FALSE)</f>
        <v>B6</v>
      </c>
    </row>
    <row r="50" spans="1:5" x14ac:dyDescent="0.25">
      <c r="A50" t="s">
        <v>780</v>
      </c>
      <c r="B50" t="s">
        <v>781</v>
      </c>
      <c r="C50" t="s">
        <v>767</v>
      </c>
      <c r="D50" t="s">
        <v>266</v>
      </c>
      <c r="E50" t="str">
        <f>VLOOKUP(C50,'[2]Controle Locação em Estoque'!$B$7:$G$77,6,FALSE)</f>
        <v>B8</v>
      </c>
    </row>
    <row r="51" spans="1:5" x14ac:dyDescent="0.25">
      <c r="A51" t="s">
        <v>782</v>
      </c>
      <c r="B51" t="s">
        <v>783</v>
      </c>
      <c r="C51" t="s">
        <v>770</v>
      </c>
      <c r="D51" t="s">
        <v>268</v>
      </c>
      <c r="E51" t="str">
        <f>VLOOKUP(C51,'[2]Controle Locação em Estoque'!$B$7:$G$77,6,FALSE)</f>
        <v>C1E</v>
      </c>
    </row>
    <row r="52" spans="1:5" x14ac:dyDescent="0.25">
      <c r="A52" t="s">
        <v>784</v>
      </c>
      <c r="B52" t="s">
        <v>785</v>
      </c>
      <c r="C52" t="s">
        <v>773</v>
      </c>
      <c r="D52" t="s">
        <v>270</v>
      </c>
      <c r="E52" t="str">
        <f>VLOOKUP(C52,'[2]Controle Locação em Estoque'!$B$7:$G$77,6,FALSE)</f>
        <v>B6</v>
      </c>
    </row>
    <row r="53" spans="1:5" x14ac:dyDescent="0.25">
      <c r="A53" t="s">
        <v>786</v>
      </c>
      <c r="B53" t="s">
        <v>787</v>
      </c>
      <c r="C53" t="s">
        <v>767</v>
      </c>
      <c r="D53" t="s">
        <v>272</v>
      </c>
      <c r="E53" t="str">
        <f>VLOOKUP(C53,'[2]Controle Locação em Estoque'!$B$7:$G$77,6,FALSE)</f>
        <v>B8</v>
      </c>
    </row>
    <row r="54" spans="1:5" x14ac:dyDescent="0.25">
      <c r="A54" t="s">
        <v>788</v>
      </c>
      <c r="B54" t="s">
        <v>789</v>
      </c>
      <c r="C54" t="s">
        <v>770</v>
      </c>
      <c r="D54" t="s">
        <v>274</v>
      </c>
      <c r="E54" t="str">
        <f>VLOOKUP(C54,'[2]Controle Locação em Estoque'!$B$7:$G$77,6,FALSE)</f>
        <v>C1E</v>
      </c>
    </row>
    <row r="55" spans="1:5" x14ac:dyDescent="0.25">
      <c r="A55" t="s">
        <v>790</v>
      </c>
      <c r="B55" t="s">
        <v>791</v>
      </c>
      <c r="C55" t="s">
        <v>773</v>
      </c>
      <c r="D55" t="s">
        <v>276</v>
      </c>
      <c r="E55" t="str">
        <f>VLOOKUP(C55,'[2]Controle Locação em Estoque'!$B$7:$G$77,6,FALSE)</f>
        <v>B6</v>
      </c>
    </row>
    <row r="56" spans="1:5" x14ac:dyDescent="0.25">
      <c r="A56" t="s">
        <v>792</v>
      </c>
      <c r="B56" t="s">
        <v>793</v>
      </c>
      <c r="C56" t="s">
        <v>767</v>
      </c>
      <c r="D56" t="s">
        <v>295</v>
      </c>
      <c r="E56" t="str">
        <f>VLOOKUP(C56,'[2]Controle Locação em Estoque'!$B$7:$G$77,6,FALSE)</f>
        <v>B8</v>
      </c>
    </row>
    <row r="57" spans="1:5" x14ac:dyDescent="0.25">
      <c r="A57" t="s">
        <v>794</v>
      </c>
      <c r="B57" t="s">
        <v>795</v>
      </c>
      <c r="C57" t="s">
        <v>770</v>
      </c>
      <c r="D57" t="s">
        <v>297</v>
      </c>
      <c r="E57" t="str">
        <f>VLOOKUP(C57,'[2]Controle Locação em Estoque'!$B$7:$G$77,6,FALSE)</f>
        <v>C1E</v>
      </c>
    </row>
    <row r="58" spans="1:5" x14ac:dyDescent="0.25">
      <c r="A58" t="s">
        <v>796</v>
      </c>
      <c r="B58" t="s">
        <v>797</v>
      </c>
      <c r="C58" t="s">
        <v>773</v>
      </c>
      <c r="D58" t="s">
        <v>299</v>
      </c>
      <c r="E58" t="str">
        <f>VLOOKUP(C58,'[2]Controle Locação em Estoque'!$B$7:$G$77,6,FALSE)</f>
        <v>B6</v>
      </c>
    </row>
    <row r="59" spans="1:5" x14ac:dyDescent="0.25">
      <c r="A59" t="s">
        <v>798</v>
      </c>
      <c r="B59" t="s">
        <v>799</v>
      </c>
      <c r="C59" t="s">
        <v>767</v>
      </c>
      <c r="D59" t="s">
        <v>355</v>
      </c>
      <c r="E59" t="str">
        <f>VLOOKUP(C59,'[2]Controle Locação em Estoque'!$B$7:$G$77,6,FALSE)</f>
        <v>B8</v>
      </c>
    </row>
    <row r="60" spans="1:5" x14ac:dyDescent="0.25">
      <c r="A60" t="s">
        <v>800</v>
      </c>
      <c r="B60" t="s">
        <v>801</v>
      </c>
      <c r="C60" t="s">
        <v>770</v>
      </c>
      <c r="D60" t="s">
        <v>357</v>
      </c>
      <c r="E60" t="str">
        <f>VLOOKUP(C60,'[2]Controle Locação em Estoque'!$B$7:$G$77,6,FALSE)</f>
        <v>C1E</v>
      </c>
    </row>
    <row r="61" spans="1:5" x14ac:dyDescent="0.25">
      <c r="A61" t="s">
        <v>802</v>
      </c>
      <c r="B61" t="s">
        <v>803</v>
      </c>
      <c r="C61" t="s">
        <v>773</v>
      </c>
      <c r="D61" t="s">
        <v>359</v>
      </c>
      <c r="E61" t="str">
        <f>VLOOKUP(C61,'[2]Controle Locação em Estoque'!$B$7:$G$77,6,FALSE)</f>
        <v>B6</v>
      </c>
    </row>
    <row r="62" spans="1:5" x14ac:dyDescent="0.25">
      <c r="A62" t="s">
        <v>804</v>
      </c>
      <c r="B62" t="s">
        <v>805</v>
      </c>
      <c r="C62" t="s">
        <v>806</v>
      </c>
      <c r="D62" t="s">
        <v>101</v>
      </c>
      <c r="E62" t="str">
        <f>VLOOKUP(C62,'[2]Controle Locação em Estoque'!$B$7:$G$77,6,FALSE)</f>
        <v>C3</v>
      </c>
    </row>
    <row r="63" spans="1:5" x14ac:dyDescent="0.25">
      <c r="A63" t="s">
        <v>807</v>
      </c>
      <c r="B63" t="s">
        <v>808</v>
      </c>
      <c r="C63" t="s">
        <v>809</v>
      </c>
      <c r="D63" t="s">
        <v>103</v>
      </c>
      <c r="E63" t="str">
        <f>VLOOKUP(C63,'[2]Controle Locação em Estoque'!$B$7:$G$77,6,FALSE)</f>
        <v>C5</v>
      </c>
    </row>
    <row r="64" spans="1:5" x14ac:dyDescent="0.25">
      <c r="A64" t="s">
        <v>810</v>
      </c>
      <c r="B64" t="s">
        <v>811</v>
      </c>
      <c r="C64" t="s">
        <v>812</v>
      </c>
      <c r="D64" t="s">
        <v>105</v>
      </c>
      <c r="E64" t="str">
        <f>VLOOKUP(C64,'[2]Controle Locação em Estoque'!$B$7:$G$77,6,FALSE)</f>
        <v>C2</v>
      </c>
    </row>
    <row r="65" spans="1:5" x14ac:dyDescent="0.25">
      <c r="A65" t="s">
        <v>813</v>
      </c>
      <c r="B65" t="s">
        <v>814</v>
      </c>
      <c r="C65" t="s">
        <v>806</v>
      </c>
      <c r="D65" t="s">
        <v>170</v>
      </c>
      <c r="E65" t="str">
        <f>VLOOKUP(C65,'[2]Controle Locação em Estoque'!$B$7:$G$77,6,FALSE)</f>
        <v>C3</v>
      </c>
    </row>
    <row r="66" spans="1:5" x14ac:dyDescent="0.25">
      <c r="A66" t="s">
        <v>815</v>
      </c>
      <c r="B66" t="s">
        <v>816</v>
      </c>
      <c r="C66" t="s">
        <v>809</v>
      </c>
      <c r="D66" t="s">
        <v>172</v>
      </c>
      <c r="E66" t="str">
        <f>VLOOKUP(C66,'[2]Controle Locação em Estoque'!$B$7:$G$77,6,FALSE)</f>
        <v>C5</v>
      </c>
    </row>
    <row r="67" spans="1:5" x14ac:dyDescent="0.25">
      <c r="A67" t="s">
        <v>817</v>
      </c>
      <c r="B67" t="s">
        <v>818</v>
      </c>
      <c r="C67" t="s">
        <v>812</v>
      </c>
      <c r="D67" t="s">
        <v>174</v>
      </c>
      <c r="E67" t="str">
        <f>VLOOKUP(C67,'[2]Controle Locação em Estoque'!$B$7:$G$77,6,FALSE)</f>
        <v>C2</v>
      </c>
    </row>
    <row r="68" spans="1:5" x14ac:dyDescent="0.25">
      <c r="A68" t="s">
        <v>819</v>
      </c>
      <c r="B68" t="s">
        <v>820</v>
      </c>
      <c r="C68" t="s">
        <v>806</v>
      </c>
      <c r="D68" t="s">
        <v>179</v>
      </c>
      <c r="E68" t="str">
        <f>VLOOKUP(C68,'[2]Controle Locação em Estoque'!$B$7:$G$77,6,FALSE)</f>
        <v>C3</v>
      </c>
    </row>
    <row r="69" spans="1:5" x14ac:dyDescent="0.25">
      <c r="A69" t="s">
        <v>821</v>
      </c>
      <c r="B69" t="s">
        <v>822</v>
      </c>
      <c r="C69" t="s">
        <v>809</v>
      </c>
      <c r="D69" t="s">
        <v>181</v>
      </c>
      <c r="E69" t="str">
        <f>VLOOKUP(C69,'[2]Controle Locação em Estoque'!$B$7:$G$77,6,FALSE)</f>
        <v>C5</v>
      </c>
    </row>
    <row r="70" spans="1:5" x14ac:dyDescent="0.25">
      <c r="A70" t="s">
        <v>823</v>
      </c>
      <c r="B70" t="s">
        <v>824</v>
      </c>
      <c r="C70" t="s">
        <v>812</v>
      </c>
      <c r="D70" t="s">
        <v>183</v>
      </c>
      <c r="E70" t="str">
        <f>VLOOKUP(C70,'[2]Controle Locação em Estoque'!$B$7:$G$77,6,FALSE)</f>
        <v>C2</v>
      </c>
    </row>
    <row r="71" spans="1:5" x14ac:dyDescent="0.25">
      <c r="A71" t="s">
        <v>825</v>
      </c>
      <c r="B71" t="s">
        <v>826</v>
      </c>
      <c r="C71" t="s">
        <v>806</v>
      </c>
      <c r="D71" t="s">
        <v>251</v>
      </c>
      <c r="E71" t="str">
        <f>VLOOKUP(C71,'[2]Controle Locação em Estoque'!$B$7:$G$77,6,FALSE)</f>
        <v>C3</v>
      </c>
    </row>
    <row r="72" spans="1:5" x14ac:dyDescent="0.25">
      <c r="A72" t="s">
        <v>827</v>
      </c>
      <c r="B72" t="s">
        <v>828</v>
      </c>
      <c r="C72" t="s">
        <v>809</v>
      </c>
      <c r="D72" t="s">
        <v>253</v>
      </c>
      <c r="E72" t="str">
        <f>VLOOKUP(C72,'[2]Controle Locação em Estoque'!$B$7:$G$77,6,FALSE)</f>
        <v>C5</v>
      </c>
    </row>
    <row r="73" spans="1:5" x14ac:dyDescent="0.25">
      <c r="A73" t="s">
        <v>829</v>
      </c>
      <c r="B73" t="s">
        <v>830</v>
      </c>
      <c r="C73" t="s">
        <v>812</v>
      </c>
      <c r="D73" t="s">
        <v>255</v>
      </c>
      <c r="E73" t="str">
        <f>VLOOKUP(C73,'[2]Controle Locação em Estoque'!$B$7:$G$77,6,FALSE)</f>
        <v>C2</v>
      </c>
    </row>
    <row r="74" spans="1:5" x14ac:dyDescent="0.25">
      <c r="A74" t="s">
        <v>831</v>
      </c>
      <c r="B74" t="s">
        <v>832</v>
      </c>
      <c r="C74" t="s">
        <v>833</v>
      </c>
      <c r="D74" t="s">
        <v>534</v>
      </c>
      <c r="E74" t="str">
        <f>VLOOKUP(C74,'[2]Controle Locação em Estoque'!$B$7:$G$77,6,FALSE)</f>
        <v>C6E</v>
      </c>
    </row>
    <row r="75" spans="1:5" x14ac:dyDescent="0.25">
      <c r="A75" t="s">
        <v>834</v>
      </c>
      <c r="B75" t="s">
        <v>835</v>
      </c>
      <c r="C75" t="s">
        <v>836</v>
      </c>
      <c r="D75" t="s">
        <v>536</v>
      </c>
      <c r="E75" t="str">
        <f>VLOOKUP(C75,'[2]Controle Locação em Estoque'!$B$7:$G$77,6,FALSE)</f>
        <v>C7D</v>
      </c>
    </row>
    <row r="76" spans="1:5" x14ac:dyDescent="0.25">
      <c r="A76" t="s">
        <v>837</v>
      </c>
      <c r="B76" t="s">
        <v>838</v>
      </c>
      <c r="C76" t="s">
        <v>839</v>
      </c>
      <c r="D76" t="s">
        <v>538</v>
      </c>
      <c r="E76" t="str">
        <f>VLOOKUP(C76,'[2]Controle Locação em Estoque'!$B$7:$G$77,6,FALSE)</f>
        <v>C6D</v>
      </c>
    </row>
    <row r="77" spans="1:5" x14ac:dyDescent="0.25">
      <c r="A77" t="s">
        <v>840</v>
      </c>
      <c r="B77" t="s">
        <v>841</v>
      </c>
      <c r="C77" t="s">
        <v>842</v>
      </c>
      <c r="D77" t="s">
        <v>352</v>
      </c>
      <c r="E77" t="str">
        <f>VLOOKUP(C77,'[2]Controle Locação em Estoque'!$B$7:$G$77,6,FALSE)</f>
        <v>C8D</v>
      </c>
    </row>
    <row r="78" spans="1:5" x14ac:dyDescent="0.25">
      <c r="A78" t="s">
        <v>843</v>
      </c>
      <c r="B78" t="s">
        <v>844</v>
      </c>
      <c r="C78" t="s">
        <v>845</v>
      </c>
      <c r="D78" t="s">
        <v>353</v>
      </c>
      <c r="E78" t="str">
        <f>VLOOKUP(C78,'[2]Controle Locação em Estoque'!$B$7:$G$77,6,FALSE)</f>
        <v>C8E</v>
      </c>
    </row>
    <row r="79" spans="1:5" x14ac:dyDescent="0.25">
      <c r="A79" t="s">
        <v>846</v>
      </c>
      <c r="B79" t="s">
        <v>847</v>
      </c>
      <c r="C79" t="s">
        <v>848</v>
      </c>
      <c r="D79" t="s">
        <v>354</v>
      </c>
      <c r="E79" t="str">
        <f>VLOOKUP(C79,'[2]Controle Locação em Estoque'!$B$7:$G$77,6,FALSE)</f>
        <v>C7E</v>
      </c>
    </row>
    <row r="80" spans="1:5" x14ac:dyDescent="0.25">
      <c r="A80" t="s">
        <v>849</v>
      </c>
      <c r="B80" t="s">
        <v>850</v>
      </c>
      <c r="C80" t="s">
        <v>851</v>
      </c>
      <c r="D80" t="s">
        <v>227</v>
      </c>
      <c r="E80" t="str">
        <f>VLOOKUP(C80,'[2]Controle Locação em Estoque'!$B$7:$G$77,6,FALSE)</f>
        <v>D2</v>
      </c>
    </row>
    <row r="81" spans="1:5" x14ac:dyDescent="0.25">
      <c r="A81" t="s">
        <v>852</v>
      </c>
      <c r="B81" t="s">
        <v>853</v>
      </c>
      <c r="C81" t="s">
        <v>854</v>
      </c>
      <c r="D81" t="s">
        <v>229</v>
      </c>
      <c r="E81" t="str">
        <f>VLOOKUP(C81,'[2]Controle Locação em Estoque'!$B$7:$G$77,6,FALSE)</f>
        <v>D4</v>
      </c>
    </row>
    <row r="82" spans="1:5" x14ac:dyDescent="0.25">
      <c r="A82" t="s">
        <v>855</v>
      </c>
      <c r="B82" t="s">
        <v>856</v>
      </c>
      <c r="C82" t="s">
        <v>857</v>
      </c>
      <c r="D82" t="s">
        <v>231</v>
      </c>
      <c r="E82" t="str">
        <f>VLOOKUP(C82,'[2]Controle Locação em Estoque'!$B$7:$G$77,6,FALSE)</f>
        <v>D1D</v>
      </c>
    </row>
    <row r="83" spans="1:5" x14ac:dyDescent="0.25">
      <c r="A83" t="s">
        <v>858</v>
      </c>
      <c r="B83" t="s">
        <v>859</v>
      </c>
      <c r="C83" t="s">
        <v>851</v>
      </c>
      <c r="D83" t="s">
        <v>643</v>
      </c>
      <c r="E83" t="str">
        <f>VLOOKUP(C83,'[2]Controle Locação em Estoque'!$B$7:$G$77,6,FALSE)</f>
        <v>D2</v>
      </c>
    </row>
    <row r="84" spans="1:5" x14ac:dyDescent="0.25">
      <c r="A84" t="s">
        <v>860</v>
      </c>
      <c r="B84" t="s">
        <v>861</v>
      </c>
      <c r="C84" t="s">
        <v>854</v>
      </c>
      <c r="D84" t="s">
        <v>645</v>
      </c>
      <c r="E84" t="str">
        <f>VLOOKUP(C84,'[2]Controle Locação em Estoque'!$B$7:$G$77,6,FALSE)</f>
        <v>D4</v>
      </c>
    </row>
    <row r="85" spans="1:5" x14ac:dyDescent="0.25">
      <c r="A85" t="s">
        <v>862</v>
      </c>
      <c r="B85" t="s">
        <v>863</v>
      </c>
      <c r="C85" t="s">
        <v>857</v>
      </c>
      <c r="D85" t="s">
        <v>647</v>
      </c>
      <c r="E85" t="str">
        <f>VLOOKUP(C85,'[2]Controle Locação em Estoque'!$B$7:$G$77,6,FALSE)</f>
        <v>D1D</v>
      </c>
    </row>
    <row r="86" spans="1:5" x14ac:dyDescent="0.25">
      <c r="A86" t="s">
        <v>864</v>
      </c>
      <c r="B86" t="s">
        <v>865</v>
      </c>
      <c r="C86" t="s">
        <v>851</v>
      </c>
      <c r="D86" t="s">
        <v>337</v>
      </c>
      <c r="E86" t="str">
        <f>VLOOKUP(C86,'[2]Controle Locação em Estoque'!$B$7:$G$77,6,FALSE)</f>
        <v>D2</v>
      </c>
    </row>
    <row r="87" spans="1:5" x14ac:dyDescent="0.25">
      <c r="A87" t="s">
        <v>866</v>
      </c>
      <c r="B87" t="s">
        <v>867</v>
      </c>
      <c r="C87" t="s">
        <v>854</v>
      </c>
      <c r="D87" t="s">
        <v>339</v>
      </c>
      <c r="E87" t="str">
        <f>VLOOKUP(C87,'[2]Controle Locação em Estoque'!$B$7:$G$77,6,FALSE)</f>
        <v>D4</v>
      </c>
    </row>
    <row r="88" spans="1:5" x14ac:dyDescent="0.25">
      <c r="A88" t="s">
        <v>868</v>
      </c>
      <c r="B88" t="s">
        <v>869</v>
      </c>
      <c r="C88" t="s">
        <v>857</v>
      </c>
      <c r="D88" t="s">
        <v>341</v>
      </c>
      <c r="E88" t="str">
        <f>VLOOKUP(C88,'[2]Controle Locação em Estoque'!$B$7:$G$77,6,FALSE)</f>
        <v>D1D</v>
      </c>
    </row>
    <row r="89" spans="1:5" x14ac:dyDescent="0.25">
      <c r="A89" t="s">
        <v>870</v>
      </c>
      <c r="B89" t="s">
        <v>871</v>
      </c>
      <c r="C89" t="s">
        <v>851</v>
      </c>
      <c r="D89" t="s">
        <v>72</v>
      </c>
      <c r="E89" t="str">
        <f>VLOOKUP(C89,'[2]Controle Locação em Estoque'!$B$7:$G$77,6,FALSE)</f>
        <v>D2</v>
      </c>
    </row>
    <row r="90" spans="1:5" x14ac:dyDescent="0.25">
      <c r="A90" t="s">
        <v>872</v>
      </c>
      <c r="B90" t="s">
        <v>873</v>
      </c>
      <c r="C90" t="s">
        <v>854</v>
      </c>
      <c r="D90" t="s">
        <v>74</v>
      </c>
      <c r="E90" t="str">
        <f>VLOOKUP(C90,'[2]Controle Locação em Estoque'!$B$7:$G$77,6,FALSE)</f>
        <v>D4</v>
      </c>
    </row>
    <row r="91" spans="1:5" x14ac:dyDescent="0.25">
      <c r="A91" t="s">
        <v>874</v>
      </c>
      <c r="B91" t="s">
        <v>875</v>
      </c>
      <c r="C91" t="s">
        <v>857</v>
      </c>
      <c r="D91" t="s">
        <v>76</v>
      </c>
      <c r="E91" t="str">
        <f>VLOOKUP(C91,'[2]Controle Locação em Estoque'!$B$7:$G$77,6,FALSE)</f>
        <v>D1D</v>
      </c>
    </row>
    <row r="92" spans="1:5" x14ac:dyDescent="0.25">
      <c r="A92" t="s">
        <v>876</v>
      </c>
      <c r="B92" t="s">
        <v>877</v>
      </c>
      <c r="C92" t="s">
        <v>851</v>
      </c>
      <c r="D92" t="s">
        <v>552</v>
      </c>
      <c r="E92" t="str">
        <f>VLOOKUP(C92,'[2]Controle Locação em Estoque'!$B$7:$G$77,6,FALSE)</f>
        <v>D2</v>
      </c>
    </row>
    <row r="93" spans="1:5" x14ac:dyDescent="0.25">
      <c r="A93" t="s">
        <v>878</v>
      </c>
      <c r="B93" t="s">
        <v>879</v>
      </c>
      <c r="C93" t="s">
        <v>854</v>
      </c>
      <c r="D93" t="s">
        <v>554</v>
      </c>
      <c r="E93" t="str">
        <f>VLOOKUP(C93,'[2]Controle Locação em Estoque'!$B$7:$G$77,6,FALSE)</f>
        <v>D4</v>
      </c>
    </row>
    <row r="94" spans="1:5" x14ac:dyDescent="0.25">
      <c r="A94" t="s">
        <v>880</v>
      </c>
      <c r="B94" t="s">
        <v>881</v>
      </c>
      <c r="C94" t="s">
        <v>857</v>
      </c>
      <c r="D94" t="s">
        <v>556</v>
      </c>
      <c r="E94" t="str">
        <f>VLOOKUP(C94,'[2]Controle Locação em Estoque'!$B$7:$G$77,6,FALSE)</f>
        <v>D1D</v>
      </c>
    </row>
    <row r="95" spans="1:5" x14ac:dyDescent="0.25">
      <c r="A95" t="s">
        <v>882</v>
      </c>
      <c r="B95" t="s">
        <v>883</v>
      </c>
      <c r="C95" t="s">
        <v>851</v>
      </c>
      <c r="D95" t="s">
        <v>478</v>
      </c>
      <c r="E95" t="str">
        <f>VLOOKUP(C95,'[2]Controle Locação em Estoque'!$B$7:$G$77,6,FALSE)</f>
        <v>D2</v>
      </c>
    </row>
    <row r="96" spans="1:5" x14ac:dyDescent="0.25">
      <c r="A96" t="s">
        <v>884</v>
      </c>
      <c r="B96" t="s">
        <v>885</v>
      </c>
      <c r="C96" t="s">
        <v>854</v>
      </c>
      <c r="D96" t="s">
        <v>480</v>
      </c>
      <c r="E96" t="str">
        <f>VLOOKUP(C96,'[2]Controle Locação em Estoque'!$B$7:$G$77,6,FALSE)</f>
        <v>D4</v>
      </c>
    </row>
    <row r="97" spans="1:5" x14ac:dyDescent="0.25">
      <c r="A97" t="s">
        <v>886</v>
      </c>
      <c r="B97" t="s">
        <v>887</v>
      </c>
      <c r="C97" t="s">
        <v>857</v>
      </c>
      <c r="D97" t="s">
        <v>482</v>
      </c>
      <c r="E97" t="str">
        <f>VLOOKUP(C97,'[2]Controle Locação em Estoque'!$B$7:$G$77,6,FALSE)</f>
        <v>D1D</v>
      </c>
    </row>
    <row r="98" spans="1:5" x14ac:dyDescent="0.25">
      <c r="A98" t="s">
        <v>888</v>
      </c>
      <c r="B98" t="s">
        <v>889</v>
      </c>
      <c r="C98" t="s">
        <v>890</v>
      </c>
      <c r="D98" t="s">
        <v>200</v>
      </c>
      <c r="E98" t="str">
        <f>VLOOKUP(C98,'[2]Controle Locação em Estoque'!$B$7:$G$77,6,FALSE)</f>
        <v>D5E</v>
      </c>
    </row>
    <row r="99" spans="1:5" x14ac:dyDescent="0.25">
      <c r="A99" t="s">
        <v>891</v>
      </c>
      <c r="B99" t="s">
        <v>892</v>
      </c>
      <c r="C99" t="s">
        <v>893</v>
      </c>
      <c r="D99" t="s">
        <v>202</v>
      </c>
      <c r="E99" t="str">
        <f>VLOOKUP(C99,'[2]Controle Locação em Estoque'!$B$7:$G$77,6,FALSE)</f>
        <v>D6E</v>
      </c>
    </row>
    <row r="100" spans="1:5" x14ac:dyDescent="0.25">
      <c r="A100" t="s">
        <v>894</v>
      </c>
      <c r="B100" t="s">
        <v>895</v>
      </c>
      <c r="C100" t="s">
        <v>896</v>
      </c>
      <c r="D100" t="s">
        <v>204</v>
      </c>
      <c r="E100" t="str">
        <f>VLOOKUP(C100,'[2]Controle Locação em Estoque'!$B$7:$G$77,6,FALSE)</f>
        <v>D5D</v>
      </c>
    </row>
    <row r="101" spans="1:5" x14ac:dyDescent="0.25">
      <c r="A101" t="s">
        <v>897</v>
      </c>
      <c r="B101" t="s">
        <v>898</v>
      </c>
      <c r="C101" t="s">
        <v>890</v>
      </c>
      <c r="D101" t="s">
        <v>221</v>
      </c>
      <c r="E101" t="str">
        <f>VLOOKUP(C101,'[2]Controle Locação em Estoque'!$B$7:$G$77,6,FALSE)</f>
        <v>D5E</v>
      </c>
    </row>
    <row r="102" spans="1:5" x14ac:dyDescent="0.25">
      <c r="A102" t="s">
        <v>899</v>
      </c>
      <c r="B102" t="s">
        <v>900</v>
      </c>
      <c r="C102" t="s">
        <v>893</v>
      </c>
      <c r="D102" t="s">
        <v>223</v>
      </c>
      <c r="E102" t="str">
        <f>VLOOKUP(C102,'[2]Controle Locação em Estoque'!$B$7:$G$77,6,FALSE)</f>
        <v>D6E</v>
      </c>
    </row>
    <row r="103" spans="1:5" x14ac:dyDescent="0.25">
      <c r="A103" t="s">
        <v>901</v>
      </c>
      <c r="B103" t="s">
        <v>902</v>
      </c>
      <c r="C103" t="s">
        <v>896</v>
      </c>
      <c r="D103" t="s">
        <v>225</v>
      </c>
      <c r="E103" t="str">
        <f>VLOOKUP(C103,'[2]Controle Locação em Estoque'!$B$7:$G$77,6,FALSE)</f>
        <v>D5D</v>
      </c>
    </row>
    <row r="104" spans="1:5" x14ac:dyDescent="0.25">
      <c r="A104" t="s">
        <v>903</v>
      </c>
      <c r="B104" t="s">
        <v>904</v>
      </c>
      <c r="C104" t="s">
        <v>890</v>
      </c>
      <c r="D104" t="s">
        <v>463</v>
      </c>
      <c r="E104" t="str">
        <f>VLOOKUP(C104,'[2]Controle Locação em Estoque'!$B$7:$G$77,6,FALSE)</f>
        <v>D5E</v>
      </c>
    </row>
    <row r="105" spans="1:5" x14ac:dyDescent="0.25">
      <c r="A105" t="s">
        <v>905</v>
      </c>
      <c r="B105" t="s">
        <v>906</v>
      </c>
      <c r="C105" t="s">
        <v>893</v>
      </c>
      <c r="D105" t="s">
        <v>465</v>
      </c>
      <c r="E105" t="str">
        <f>VLOOKUP(C105,'[2]Controle Locação em Estoque'!$B$7:$G$77,6,FALSE)</f>
        <v>D6E</v>
      </c>
    </row>
    <row r="106" spans="1:5" x14ac:dyDescent="0.25">
      <c r="A106" t="s">
        <v>907</v>
      </c>
      <c r="B106" t="s">
        <v>908</v>
      </c>
      <c r="C106" t="s">
        <v>896</v>
      </c>
      <c r="D106" t="s">
        <v>467</v>
      </c>
      <c r="E106" t="str">
        <f>VLOOKUP(C106,'[2]Controle Locação em Estoque'!$B$7:$G$77,6,FALSE)</f>
        <v>D5D</v>
      </c>
    </row>
    <row r="107" spans="1:5" x14ac:dyDescent="0.25">
      <c r="A107" t="s">
        <v>909</v>
      </c>
      <c r="B107" t="s">
        <v>910</v>
      </c>
      <c r="C107" t="s">
        <v>911</v>
      </c>
      <c r="D107" t="s">
        <v>546</v>
      </c>
      <c r="E107" t="str">
        <f>VLOOKUP(C107,'[2]Controle Locação em Estoque'!$B$7:$G$77,6,FALSE)</f>
        <v>E1</v>
      </c>
    </row>
    <row r="108" spans="1:5" x14ac:dyDescent="0.25">
      <c r="A108" t="s">
        <v>912</v>
      </c>
      <c r="B108" t="s">
        <v>913</v>
      </c>
      <c r="C108" t="s">
        <v>914</v>
      </c>
      <c r="D108" t="s">
        <v>548</v>
      </c>
      <c r="E108" t="str">
        <f>VLOOKUP(C108,'[2]Controle Locação em Estoque'!$B$7:$G$77,6,FALSE)</f>
        <v>E2D</v>
      </c>
    </row>
    <row r="109" spans="1:5" x14ac:dyDescent="0.25">
      <c r="A109" t="s">
        <v>915</v>
      </c>
      <c r="B109" t="s">
        <v>916</v>
      </c>
      <c r="C109" t="s">
        <v>917</v>
      </c>
      <c r="D109" t="s">
        <v>550</v>
      </c>
      <c r="E109" t="str">
        <f>VLOOKUP(C109,'[2]Controle Locação em Estoque'!$B$7:$G$77,6,FALSE)</f>
        <v>D7D</v>
      </c>
    </row>
    <row r="110" spans="1:5" x14ac:dyDescent="0.25">
      <c r="A110" t="s">
        <v>918</v>
      </c>
      <c r="B110" t="s">
        <v>919</v>
      </c>
      <c r="C110" t="s">
        <v>911</v>
      </c>
      <c r="D110" t="s">
        <v>570</v>
      </c>
      <c r="E110" t="str">
        <f>VLOOKUP(C110,'[2]Controle Locação em Estoque'!$B$7:$G$77,6,FALSE)</f>
        <v>E1</v>
      </c>
    </row>
    <row r="111" spans="1:5" x14ac:dyDescent="0.25">
      <c r="A111" t="s">
        <v>920</v>
      </c>
      <c r="B111" t="s">
        <v>921</v>
      </c>
      <c r="C111" t="s">
        <v>914</v>
      </c>
      <c r="D111" t="s">
        <v>572</v>
      </c>
      <c r="E111" t="str">
        <f>VLOOKUP(C111,'[2]Controle Locação em Estoque'!$B$7:$G$77,6,FALSE)</f>
        <v>E2D</v>
      </c>
    </row>
    <row r="112" spans="1:5" x14ac:dyDescent="0.25">
      <c r="A112" t="s">
        <v>922</v>
      </c>
      <c r="B112" t="s">
        <v>923</v>
      </c>
      <c r="C112" t="s">
        <v>917</v>
      </c>
      <c r="D112" t="s">
        <v>574</v>
      </c>
      <c r="E112" t="str">
        <f>VLOOKUP(C112,'[2]Controle Locação em Estoque'!$B$7:$G$77,6,FALSE)</f>
        <v>D7D</v>
      </c>
    </row>
    <row r="113" spans="1:5" x14ac:dyDescent="0.25">
      <c r="A113" t="s">
        <v>924</v>
      </c>
      <c r="B113" t="s">
        <v>925</v>
      </c>
      <c r="C113" t="s">
        <v>911</v>
      </c>
      <c r="D113" t="s">
        <v>289</v>
      </c>
      <c r="E113" t="str">
        <f>VLOOKUP(C113,'[2]Controle Locação em Estoque'!$B$7:$G$77,6,FALSE)</f>
        <v>E1</v>
      </c>
    </row>
    <row r="114" spans="1:5" x14ac:dyDescent="0.25">
      <c r="A114" t="s">
        <v>926</v>
      </c>
      <c r="B114" t="s">
        <v>927</v>
      </c>
      <c r="C114" t="s">
        <v>914</v>
      </c>
      <c r="D114" t="s">
        <v>291</v>
      </c>
      <c r="E114" t="str">
        <f>VLOOKUP(C114,'[2]Controle Locação em Estoque'!$B$7:$G$77,6,FALSE)</f>
        <v>E2D</v>
      </c>
    </row>
    <row r="115" spans="1:5" x14ac:dyDescent="0.25">
      <c r="A115" t="s">
        <v>928</v>
      </c>
      <c r="B115" t="s">
        <v>929</v>
      </c>
      <c r="C115" t="s">
        <v>917</v>
      </c>
      <c r="D115" t="s">
        <v>293</v>
      </c>
      <c r="E115" t="str">
        <f>VLOOKUP(C115,'[2]Controle Locação em Estoque'!$B$7:$G$77,6,FALSE)</f>
        <v>D7D</v>
      </c>
    </row>
    <row r="116" spans="1:5" x14ac:dyDescent="0.25">
      <c r="A116" t="s">
        <v>930</v>
      </c>
      <c r="B116" t="s">
        <v>931</v>
      </c>
      <c r="C116" t="s">
        <v>911</v>
      </c>
      <c r="D116" t="s">
        <v>448</v>
      </c>
      <c r="E116" t="str">
        <f>VLOOKUP(C116,'[2]Controle Locação em Estoque'!$B$7:$G$77,6,FALSE)</f>
        <v>E1</v>
      </c>
    </row>
    <row r="117" spans="1:5" x14ac:dyDescent="0.25">
      <c r="A117" t="s">
        <v>932</v>
      </c>
      <c r="B117" t="s">
        <v>933</v>
      </c>
      <c r="C117" t="s">
        <v>914</v>
      </c>
      <c r="D117" t="s">
        <v>450</v>
      </c>
      <c r="E117" t="str">
        <f>VLOOKUP(C117,'[2]Controle Locação em Estoque'!$B$7:$G$77,6,FALSE)</f>
        <v>E2D</v>
      </c>
    </row>
    <row r="118" spans="1:5" x14ac:dyDescent="0.25">
      <c r="A118" t="s">
        <v>934</v>
      </c>
      <c r="B118" t="s">
        <v>935</v>
      </c>
      <c r="C118" t="s">
        <v>917</v>
      </c>
      <c r="D118" t="s">
        <v>452</v>
      </c>
      <c r="E118" t="str">
        <f>VLOOKUP(C118,'[2]Controle Locação em Estoque'!$B$7:$G$77,6,FALSE)</f>
        <v>D7D</v>
      </c>
    </row>
    <row r="119" spans="1:5" x14ac:dyDescent="0.25">
      <c r="A119" t="s">
        <v>936</v>
      </c>
      <c r="B119" t="s">
        <v>937</v>
      </c>
      <c r="C119" t="s">
        <v>911</v>
      </c>
      <c r="D119" t="s">
        <v>472</v>
      </c>
      <c r="E119" t="str">
        <f>VLOOKUP(C119,'[2]Controle Locação em Estoque'!$B$7:$G$77,6,FALSE)</f>
        <v>E1</v>
      </c>
    </row>
    <row r="120" spans="1:5" x14ac:dyDescent="0.25">
      <c r="A120" t="s">
        <v>938</v>
      </c>
      <c r="B120" t="s">
        <v>939</v>
      </c>
      <c r="C120" t="s">
        <v>914</v>
      </c>
      <c r="D120" t="s">
        <v>474</v>
      </c>
      <c r="E120" t="str">
        <f>VLOOKUP(C120,'[2]Controle Locação em Estoque'!$B$7:$G$77,6,FALSE)</f>
        <v>E2D</v>
      </c>
    </row>
    <row r="121" spans="1:5" x14ac:dyDescent="0.25">
      <c r="A121" t="s">
        <v>940</v>
      </c>
      <c r="B121" t="s">
        <v>941</v>
      </c>
      <c r="C121" t="s">
        <v>917</v>
      </c>
      <c r="D121" t="s">
        <v>476</v>
      </c>
      <c r="E121" t="str">
        <f>VLOOKUP(C121,'[2]Controle Locação em Estoque'!$B$7:$G$77,6,FALSE)</f>
        <v>D7D</v>
      </c>
    </row>
    <row r="122" spans="1:5" x14ac:dyDescent="0.25">
      <c r="A122" t="s">
        <v>942</v>
      </c>
      <c r="B122" t="s">
        <v>943</v>
      </c>
      <c r="C122" t="s">
        <v>944</v>
      </c>
      <c r="D122" t="s">
        <v>60</v>
      </c>
      <c r="E122" t="str">
        <f>VLOOKUP(C122,'[2]Controle Locação em Estoque'!$B$7:$G$77,6,FALSE)</f>
        <v>E4</v>
      </c>
    </row>
    <row r="123" spans="1:5" x14ac:dyDescent="0.25">
      <c r="A123" t="s">
        <v>945</v>
      </c>
      <c r="B123" t="s">
        <v>946</v>
      </c>
      <c r="C123" t="s">
        <v>947</v>
      </c>
      <c r="D123" t="s">
        <v>62</v>
      </c>
      <c r="E123" t="str">
        <f>VLOOKUP(C123,'[2]Controle Locação em Estoque'!$B$7:$G$77,6,FALSE)</f>
        <v>E5E</v>
      </c>
    </row>
    <row r="124" spans="1:5" x14ac:dyDescent="0.25">
      <c r="A124" t="s">
        <v>948</v>
      </c>
      <c r="B124" t="s">
        <v>949</v>
      </c>
      <c r="C124" t="s">
        <v>950</v>
      </c>
      <c r="D124" t="s">
        <v>64</v>
      </c>
      <c r="E124" t="str">
        <f>VLOOKUP(C124,'[2]Controle Locação em Estoque'!$B$7:$G$77,6,FALSE)</f>
        <v>E2E</v>
      </c>
    </row>
    <row r="125" spans="1:5" x14ac:dyDescent="0.25">
      <c r="A125" t="s">
        <v>951</v>
      </c>
      <c r="B125" t="s">
        <v>952</v>
      </c>
      <c r="C125" t="s">
        <v>944</v>
      </c>
      <c r="D125" t="s">
        <v>152</v>
      </c>
      <c r="E125" t="str">
        <f>VLOOKUP(C125,'[2]Controle Locação em Estoque'!$B$7:$G$77,6,FALSE)</f>
        <v>E4</v>
      </c>
    </row>
    <row r="126" spans="1:5" x14ac:dyDescent="0.25">
      <c r="A126" t="s">
        <v>953</v>
      </c>
      <c r="B126" t="s">
        <v>954</v>
      </c>
      <c r="C126" t="s">
        <v>947</v>
      </c>
      <c r="D126" t="s">
        <v>154</v>
      </c>
      <c r="E126" t="str">
        <f>VLOOKUP(C126,'[2]Controle Locação em Estoque'!$B$7:$G$77,6,FALSE)</f>
        <v>E5E</v>
      </c>
    </row>
    <row r="127" spans="1:5" x14ac:dyDescent="0.25">
      <c r="A127" t="s">
        <v>955</v>
      </c>
      <c r="B127" t="s">
        <v>956</v>
      </c>
      <c r="C127" t="s">
        <v>950</v>
      </c>
      <c r="D127" t="s">
        <v>156</v>
      </c>
      <c r="E127" t="str">
        <f>VLOOKUP(C127,'[2]Controle Locação em Estoque'!$B$7:$G$77,6,FALSE)</f>
        <v>E2E</v>
      </c>
    </row>
    <row r="128" spans="1:5" x14ac:dyDescent="0.25">
      <c r="A128" t="s">
        <v>957</v>
      </c>
      <c r="B128" t="s">
        <v>958</v>
      </c>
      <c r="C128" t="s">
        <v>944</v>
      </c>
      <c r="D128" t="s">
        <v>239</v>
      </c>
      <c r="E128" t="str">
        <f>VLOOKUP(C128,'[2]Controle Locação em Estoque'!$B$7:$G$77,6,FALSE)</f>
        <v>E4</v>
      </c>
    </row>
    <row r="129" spans="1:5" x14ac:dyDescent="0.25">
      <c r="A129" t="s">
        <v>959</v>
      </c>
      <c r="B129" t="s">
        <v>960</v>
      </c>
      <c r="C129" t="s">
        <v>947</v>
      </c>
      <c r="D129" t="s">
        <v>241</v>
      </c>
      <c r="E129" t="str">
        <f>VLOOKUP(C129,'[2]Controle Locação em Estoque'!$B$7:$G$77,6,FALSE)</f>
        <v>E5E</v>
      </c>
    </row>
    <row r="130" spans="1:5" x14ac:dyDescent="0.25">
      <c r="A130" t="s">
        <v>961</v>
      </c>
      <c r="B130" t="s">
        <v>962</v>
      </c>
      <c r="C130" t="s">
        <v>950</v>
      </c>
      <c r="D130" t="s">
        <v>243</v>
      </c>
      <c r="E130" t="str">
        <f>VLOOKUP(C130,'[2]Controle Locação em Estoque'!$B$7:$G$77,6,FALSE)</f>
        <v>E2E</v>
      </c>
    </row>
    <row r="131" spans="1:5" x14ac:dyDescent="0.25">
      <c r="A131" t="s">
        <v>963</v>
      </c>
      <c r="B131" t="s">
        <v>964</v>
      </c>
      <c r="C131" t="s">
        <v>944</v>
      </c>
      <c r="D131" t="s">
        <v>316</v>
      </c>
      <c r="E131" t="str">
        <f>VLOOKUP(C131,'[2]Controle Locação em Estoque'!$B$7:$G$77,6,FALSE)</f>
        <v>E4</v>
      </c>
    </row>
    <row r="132" spans="1:5" x14ac:dyDescent="0.25">
      <c r="A132" t="s">
        <v>965</v>
      </c>
      <c r="B132" t="s">
        <v>966</v>
      </c>
      <c r="C132" t="s">
        <v>947</v>
      </c>
      <c r="D132" t="s">
        <v>318</v>
      </c>
      <c r="E132" t="str">
        <f>VLOOKUP(C132,'[2]Controle Locação em Estoque'!$B$7:$G$77,6,FALSE)</f>
        <v>E5E</v>
      </c>
    </row>
    <row r="133" spans="1:5" x14ac:dyDescent="0.25">
      <c r="A133" t="s">
        <v>967</v>
      </c>
      <c r="B133" t="s">
        <v>968</v>
      </c>
      <c r="C133" t="s">
        <v>950</v>
      </c>
      <c r="D133" t="s">
        <v>320</v>
      </c>
      <c r="E133" t="str">
        <f>VLOOKUP(C133,'[2]Controle Locação em Estoque'!$B$7:$G$77,6,FALSE)</f>
        <v>E2E</v>
      </c>
    </row>
    <row r="134" spans="1:5" x14ac:dyDescent="0.25">
      <c r="A134" t="s">
        <v>969</v>
      </c>
      <c r="B134" t="s">
        <v>970</v>
      </c>
      <c r="C134" t="s">
        <v>944</v>
      </c>
      <c r="D134" t="s">
        <v>379</v>
      </c>
      <c r="E134" t="str">
        <f>VLOOKUP(C134,'[2]Controle Locação em Estoque'!$B$7:$G$77,6,FALSE)</f>
        <v>E4</v>
      </c>
    </row>
    <row r="135" spans="1:5" x14ac:dyDescent="0.25">
      <c r="A135" t="s">
        <v>971</v>
      </c>
      <c r="B135" t="s">
        <v>972</v>
      </c>
      <c r="C135" t="s">
        <v>947</v>
      </c>
      <c r="D135" t="s">
        <v>381</v>
      </c>
      <c r="E135" t="str">
        <f>VLOOKUP(C135,'[2]Controle Locação em Estoque'!$B$7:$G$77,6,FALSE)</f>
        <v>E5E</v>
      </c>
    </row>
    <row r="136" spans="1:5" x14ac:dyDescent="0.25">
      <c r="A136" t="s">
        <v>973</v>
      </c>
      <c r="B136" t="s">
        <v>974</v>
      </c>
      <c r="C136" t="s">
        <v>950</v>
      </c>
      <c r="D136" t="s">
        <v>383</v>
      </c>
      <c r="E136" t="str">
        <f>VLOOKUP(C136,'[2]Controle Locação em Estoque'!$B$7:$G$77,6,FALSE)</f>
        <v>E2E</v>
      </c>
    </row>
    <row r="137" spans="1:5" x14ac:dyDescent="0.25">
      <c r="A137" t="s">
        <v>975</v>
      </c>
      <c r="B137" t="s">
        <v>976</v>
      </c>
      <c r="C137" t="s">
        <v>977</v>
      </c>
      <c r="D137" t="s">
        <v>66</v>
      </c>
      <c r="E137" t="str">
        <f>VLOOKUP(C137,'[2]Controle Locação em Estoque'!$B$7:$G$77,6,FALSE)</f>
        <v>E6E</v>
      </c>
    </row>
    <row r="138" spans="1:5" x14ac:dyDescent="0.25">
      <c r="A138" t="s">
        <v>978</v>
      </c>
      <c r="B138" t="s">
        <v>979</v>
      </c>
      <c r="C138" t="s">
        <v>980</v>
      </c>
      <c r="D138" t="s">
        <v>68</v>
      </c>
      <c r="E138" t="str">
        <f>VLOOKUP(C138,'[2]Controle Locação em Estoque'!$B$7:$G$77,6,FALSE)</f>
        <v>E7E</v>
      </c>
    </row>
    <row r="139" spans="1:5" x14ac:dyDescent="0.25">
      <c r="A139" t="s">
        <v>981</v>
      </c>
      <c r="B139" t="s">
        <v>982</v>
      </c>
      <c r="C139" t="s">
        <v>983</v>
      </c>
      <c r="D139" t="s">
        <v>70</v>
      </c>
      <c r="E139" t="str">
        <f>VLOOKUP(C139,'[2]Controle Locação em Estoque'!$B$7:$G$77,6,FALSE)</f>
        <v>E6D</v>
      </c>
    </row>
    <row r="140" spans="1:5" x14ac:dyDescent="0.25">
      <c r="A140" t="s">
        <v>984</v>
      </c>
      <c r="B140" t="s">
        <v>985</v>
      </c>
      <c r="C140" t="s">
        <v>977</v>
      </c>
      <c r="D140" t="s">
        <v>194</v>
      </c>
      <c r="E140" t="str">
        <f>VLOOKUP(C140,'[2]Controle Locação em Estoque'!$B$7:$G$77,6,FALSE)</f>
        <v>E6E</v>
      </c>
    </row>
    <row r="141" spans="1:5" x14ac:dyDescent="0.25">
      <c r="A141" t="s">
        <v>986</v>
      </c>
      <c r="B141" t="s">
        <v>987</v>
      </c>
      <c r="C141" t="s">
        <v>980</v>
      </c>
      <c r="D141" t="s">
        <v>196</v>
      </c>
      <c r="E141" t="str">
        <f>VLOOKUP(C141,'[2]Controle Locação em Estoque'!$B$7:$G$77,6,FALSE)</f>
        <v>E7E</v>
      </c>
    </row>
    <row r="142" spans="1:5" x14ac:dyDescent="0.25">
      <c r="A142" t="s">
        <v>988</v>
      </c>
      <c r="B142" t="s">
        <v>989</v>
      </c>
      <c r="C142" t="s">
        <v>983</v>
      </c>
      <c r="D142" t="s">
        <v>198</v>
      </c>
      <c r="E142" t="str">
        <f>VLOOKUP(C142,'[2]Controle Locação em Estoque'!$B$7:$G$77,6,FALSE)</f>
        <v>E6D</v>
      </c>
    </row>
    <row r="143" spans="1:5" x14ac:dyDescent="0.25">
      <c r="A143" t="s">
        <v>990</v>
      </c>
      <c r="B143" t="s">
        <v>991</v>
      </c>
      <c r="C143" t="s">
        <v>977</v>
      </c>
      <c r="D143" t="s">
        <v>301</v>
      </c>
      <c r="E143" t="str">
        <f>VLOOKUP(C143,'[2]Controle Locação em Estoque'!$B$7:$G$77,6,FALSE)</f>
        <v>E6E</v>
      </c>
    </row>
    <row r="144" spans="1:5" x14ac:dyDescent="0.25">
      <c r="A144" t="s">
        <v>992</v>
      </c>
      <c r="B144" t="s">
        <v>993</v>
      </c>
      <c r="C144" t="s">
        <v>980</v>
      </c>
      <c r="D144" t="s">
        <v>303</v>
      </c>
      <c r="E144" t="str">
        <f>VLOOKUP(C144,'[2]Controle Locação em Estoque'!$B$7:$G$77,6,FALSE)</f>
        <v>E7E</v>
      </c>
    </row>
    <row r="145" spans="1:5" x14ac:dyDescent="0.25">
      <c r="A145" t="s">
        <v>994</v>
      </c>
      <c r="B145" t="s">
        <v>995</v>
      </c>
      <c r="C145" t="s">
        <v>983</v>
      </c>
      <c r="D145" t="s">
        <v>305</v>
      </c>
      <c r="E145" t="str">
        <f>VLOOKUP(C145,'[2]Controle Locação em Estoque'!$B$7:$G$77,6,FALSE)</f>
        <v>E6D</v>
      </c>
    </row>
    <row r="146" spans="1:5" x14ac:dyDescent="0.25">
      <c r="A146" t="s">
        <v>996</v>
      </c>
      <c r="B146" t="s">
        <v>997</v>
      </c>
      <c r="C146" t="s">
        <v>977</v>
      </c>
      <c r="D146" t="s">
        <v>403</v>
      </c>
      <c r="E146" t="str">
        <f>VLOOKUP(C146,'[2]Controle Locação em Estoque'!$B$7:$G$77,6,FALSE)</f>
        <v>E6E</v>
      </c>
    </row>
    <row r="147" spans="1:5" x14ac:dyDescent="0.25">
      <c r="A147" t="s">
        <v>998</v>
      </c>
      <c r="B147" t="s">
        <v>999</v>
      </c>
      <c r="C147" t="s">
        <v>980</v>
      </c>
      <c r="D147" t="s">
        <v>405</v>
      </c>
      <c r="E147" t="str">
        <f>VLOOKUP(C147,'[2]Controle Locação em Estoque'!$B$7:$G$77,6,FALSE)</f>
        <v>E7E</v>
      </c>
    </row>
    <row r="148" spans="1:5" x14ac:dyDescent="0.25">
      <c r="A148" t="s">
        <v>1000</v>
      </c>
      <c r="B148" t="s">
        <v>1001</v>
      </c>
      <c r="C148" t="s">
        <v>983</v>
      </c>
      <c r="D148" t="s">
        <v>407</v>
      </c>
      <c r="E148" t="str">
        <f>VLOOKUP(C148,'[2]Controle Locação em Estoque'!$B$7:$G$77,6,FALSE)</f>
        <v>E6D</v>
      </c>
    </row>
    <row r="149" spans="1:5" x14ac:dyDescent="0.25">
      <c r="A149" t="s">
        <v>1002</v>
      </c>
      <c r="B149" t="s">
        <v>1003</v>
      </c>
      <c r="C149" t="s">
        <v>1004</v>
      </c>
      <c r="D149" t="s">
        <v>1005</v>
      </c>
      <c r="E149" t="str">
        <f>VLOOKUP(C149,'[2]Controle Locação em Estoque'!$B$7:$G$77,6,FALSE)</f>
        <v>F1</v>
      </c>
    </row>
    <row r="150" spans="1:5" x14ac:dyDescent="0.25">
      <c r="A150" t="s">
        <v>1006</v>
      </c>
      <c r="B150" t="s">
        <v>1007</v>
      </c>
      <c r="C150" t="s">
        <v>1008</v>
      </c>
      <c r="D150" t="s">
        <v>1009</v>
      </c>
      <c r="E150" t="str">
        <f>VLOOKUP(C150,'[2]Controle Locação em Estoque'!$B$7:$G$77,6,FALSE)</f>
        <v>F2</v>
      </c>
    </row>
    <row r="151" spans="1:5" x14ac:dyDescent="0.25">
      <c r="A151" t="s">
        <v>1010</v>
      </c>
      <c r="B151" t="s">
        <v>1011</v>
      </c>
      <c r="C151" t="s">
        <v>1012</v>
      </c>
      <c r="D151" t="s">
        <v>1013</v>
      </c>
      <c r="E151" t="str">
        <f>VLOOKUP(C151,'[2]Controle Locação em Estoque'!$B$7:$G$77,6,FALSE)</f>
        <v>E8</v>
      </c>
    </row>
    <row r="152" spans="1:5" x14ac:dyDescent="0.25">
      <c r="A152" t="s">
        <v>1014</v>
      </c>
      <c r="B152" t="s">
        <v>1015</v>
      </c>
      <c r="C152" t="s">
        <v>1016</v>
      </c>
      <c r="D152" t="s">
        <v>134</v>
      </c>
      <c r="E152" t="str">
        <f>VLOOKUP(C152,'[2]Controle Locação em Estoque'!$B$7:$G$77,6,FALSE)</f>
        <v>G1M</v>
      </c>
    </row>
    <row r="153" spans="1:5" x14ac:dyDescent="0.25">
      <c r="A153" t="s">
        <v>1017</v>
      </c>
      <c r="B153" t="s">
        <v>1018</v>
      </c>
      <c r="C153" t="s">
        <v>1019</v>
      </c>
      <c r="D153" t="s">
        <v>136</v>
      </c>
      <c r="E153" t="str">
        <f>VLOOKUP(C153,'[2]Controle Locação em Estoque'!$B$7:$G$77,6,FALSE)</f>
        <v>G1E</v>
      </c>
    </row>
    <row r="154" spans="1:5" x14ac:dyDescent="0.25">
      <c r="A154" t="s">
        <v>1020</v>
      </c>
      <c r="B154" t="s">
        <v>1021</v>
      </c>
      <c r="C154" t="s">
        <v>1022</v>
      </c>
      <c r="D154" t="s">
        <v>138</v>
      </c>
      <c r="E154" t="str">
        <f>VLOOKUP(C154,'[2]Controle Locação em Estoque'!$B$7:$G$77,6,FALSE)</f>
        <v>G1D</v>
      </c>
    </row>
    <row r="155" spans="1:5" x14ac:dyDescent="0.25">
      <c r="A155" t="s">
        <v>1023</v>
      </c>
      <c r="B155" t="s">
        <v>1024</v>
      </c>
      <c r="C155" t="s">
        <v>1016</v>
      </c>
      <c r="D155" t="s">
        <v>391</v>
      </c>
      <c r="E155" t="str">
        <f>VLOOKUP(C155,'[2]Controle Locação em Estoque'!$B$7:$G$77,6,FALSE)</f>
        <v>G1M</v>
      </c>
    </row>
    <row r="156" spans="1:5" x14ac:dyDescent="0.25">
      <c r="A156" t="s">
        <v>1025</v>
      </c>
      <c r="B156" t="s">
        <v>1026</v>
      </c>
      <c r="C156" t="s">
        <v>1019</v>
      </c>
      <c r="D156" t="s">
        <v>393</v>
      </c>
      <c r="E156" t="str">
        <f>VLOOKUP(C156,'[2]Controle Locação em Estoque'!$B$7:$G$77,6,FALSE)</f>
        <v>G1E</v>
      </c>
    </row>
    <row r="157" spans="1:5" x14ac:dyDescent="0.25">
      <c r="A157" t="s">
        <v>1027</v>
      </c>
      <c r="B157" t="s">
        <v>1028</v>
      </c>
      <c r="C157" t="s">
        <v>1022</v>
      </c>
      <c r="D157" t="s">
        <v>395</v>
      </c>
      <c r="E157" t="str">
        <f>VLOOKUP(C157,'[2]Controle Locação em Estoque'!$B$7:$G$77,6,FALSE)</f>
        <v>G1D</v>
      </c>
    </row>
    <row r="158" spans="1:5" x14ac:dyDescent="0.25">
      <c r="A158" t="s">
        <v>1029</v>
      </c>
      <c r="B158" t="s">
        <v>1030</v>
      </c>
      <c r="C158" t="s">
        <v>1016</v>
      </c>
      <c r="D158" t="s">
        <v>415</v>
      </c>
      <c r="E158" t="str">
        <f>VLOOKUP(C158,'[2]Controle Locação em Estoque'!$B$7:$G$77,6,FALSE)</f>
        <v>G1M</v>
      </c>
    </row>
    <row r="159" spans="1:5" x14ac:dyDescent="0.25">
      <c r="A159" t="s">
        <v>1031</v>
      </c>
      <c r="B159" t="s">
        <v>1032</v>
      </c>
      <c r="C159" t="s">
        <v>1019</v>
      </c>
      <c r="D159" t="s">
        <v>417</v>
      </c>
      <c r="E159" t="str">
        <f>VLOOKUP(C159,'[2]Controle Locação em Estoque'!$B$7:$G$77,6,FALSE)</f>
        <v>G1E</v>
      </c>
    </row>
    <row r="160" spans="1:5" x14ac:dyDescent="0.25">
      <c r="A160" t="s">
        <v>1033</v>
      </c>
      <c r="B160" t="s">
        <v>1034</v>
      </c>
      <c r="C160" t="s">
        <v>1022</v>
      </c>
      <c r="D160" t="s">
        <v>419</v>
      </c>
      <c r="E160" t="str">
        <f>VLOOKUP(C160,'[2]Controle Locação em Estoque'!$B$7:$G$77,6,FALSE)</f>
        <v>G1D</v>
      </c>
    </row>
    <row r="161" spans="1:5" x14ac:dyDescent="0.25">
      <c r="A161" t="s">
        <v>1035</v>
      </c>
      <c r="B161" t="s">
        <v>1036</v>
      </c>
      <c r="C161" t="s">
        <v>1037</v>
      </c>
      <c r="D161" t="s">
        <v>584</v>
      </c>
      <c r="E161" t="str">
        <f>VLOOKUP(C161,'[2]Controle Locação em Estoque'!$B$7:$G$77,6,FALSE)</f>
        <v>G2E</v>
      </c>
    </row>
    <row r="162" spans="1:5" x14ac:dyDescent="0.25">
      <c r="A162" t="s">
        <v>1038</v>
      </c>
      <c r="B162" t="s">
        <v>1039</v>
      </c>
      <c r="C162" t="s">
        <v>1040</v>
      </c>
      <c r="D162" t="s">
        <v>585</v>
      </c>
      <c r="E162" t="str">
        <f>VLOOKUP(C162,'[2]Controle Locação em Estoque'!$B$7:$G$77,6,FALSE)</f>
        <v>H1D</v>
      </c>
    </row>
    <row r="163" spans="1:5" x14ac:dyDescent="0.25">
      <c r="A163" t="s">
        <v>1041</v>
      </c>
      <c r="B163" t="s">
        <v>1042</v>
      </c>
      <c r="C163" t="s">
        <v>1043</v>
      </c>
      <c r="D163" t="s">
        <v>586</v>
      </c>
      <c r="E163" t="str">
        <f>VLOOKUP(C163,'[2]Controle Locação em Estoque'!$B$7:$G$77,6,FALSE)</f>
        <v>G2D</v>
      </c>
    </row>
    <row r="164" spans="1:5" x14ac:dyDescent="0.25">
      <c r="A164" t="s">
        <v>1044</v>
      </c>
      <c r="B164" t="s">
        <v>1045</v>
      </c>
      <c r="C164" t="s">
        <v>1046</v>
      </c>
      <c r="D164" t="s">
        <v>1047</v>
      </c>
      <c r="E164" t="str">
        <f>VLOOKUP(C164,'[2]Controle Locação em Estoque'!$B$7:$G$77,6,FALSE)</f>
        <v>H2</v>
      </c>
    </row>
    <row r="165" spans="1:5" x14ac:dyDescent="0.25">
      <c r="A165" t="s">
        <v>1048</v>
      </c>
      <c r="B165" t="s">
        <v>1049</v>
      </c>
      <c r="C165" t="s">
        <v>1050</v>
      </c>
      <c r="D165" t="s">
        <v>1051</v>
      </c>
      <c r="E165" t="str">
        <f>VLOOKUP(C165,'[2]Controle Locação em Estoque'!$B$7:$G$77,6,FALSE)</f>
        <v>I1D</v>
      </c>
    </row>
    <row r="166" spans="1:5" x14ac:dyDescent="0.25">
      <c r="A166" t="s">
        <v>1052</v>
      </c>
      <c r="B166" t="s">
        <v>1053</v>
      </c>
      <c r="C166" t="s">
        <v>1054</v>
      </c>
      <c r="D166" t="s">
        <v>1055</v>
      </c>
      <c r="E166" t="str">
        <f>VLOOKUP(C166,'[2]Controle Locação em Estoque'!$B$7:$G$77,6,FALSE)</f>
        <v>H1E</v>
      </c>
    </row>
  </sheetData>
  <autoFilter ref="A1:E166" xr:uid="{5943A771-668C-4F81-A0EC-ED94445144F2}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B6112-315A-4EC9-8BDE-D70A2B2FD254}">
  <sheetPr codeName="Planilha7"/>
  <dimension ref="B2:AD100"/>
  <sheetViews>
    <sheetView showGridLines="0" workbookViewId="0">
      <selection activeCell="F5" sqref="F5"/>
    </sheetView>
  </sheetViews>
  <sheetFormatPr defaultRowHeight="15" x14ac:dyDescent="0.25"/>
  <cols>
    <col min="2" max="4" width="24" customWidth="1"/>
    <col min="5" max="22" width="11.7109375" customWidth="1"/>
    <col min="25" max="25" width="18" bestFit="1" customWidth="1"/>
    <col min="26" max="26" width="19.7109375" bestFit="1" customWidth="1"/>
    <col min="28" max="28" width="12" bestFit="1" customWidth="1"/>
  </cols>
  <sheetData>
    <row r="2" spans="2:30" ht="28.5" x14ac:dyDescent="0.45">
      <c r="B2" s="90" t="s">
        <v>1061</v>
      </c>
      <c r="C2" s="90"/>
      <c r="D2" s="90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</row>
    <row r="3" spans="2:30" ht="18.75" x14ac:dyDescent="0.3">
      <c r="B3" s="73" t="s">
        <v>1060</v>
      </c>
      <c r="C3" s="73" t="s">
        <v>1059</v>
      </c>
      <c r="D3" s="73" t="s">
        <v>25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Y3" s="13" t="s">
        <v>21</v>
      </c>
      <c r="Z3" t="s">
        <v>1062</v>
      </c>
    </row>
    <row r="4" spans="2:30" ht="18.75" x14ac:dyDescent="0.3">
      <c r="B4" s="71"/>
      <c r="C4" s="72"/>
      <c r="D4" s="70">
        <f>IF(Tabela2[[#This Row],[PN]]&lt;&gt;"",1,0)</f>
        <v>0</v>
      </c>
      <c r="H4" s="16"/>
      <c r="I4" s="16"/>
      <c r="Y4" s="14" t="s">
        <v>1146</v>
      </c>
      <c r="Z4" s="12">
        <v>0</v>
      </c>
    </row>
    <row r="5" spans="2:30" ht="18.75" x14ac:dyDescent="0.3">
      <c r="B5" s="71"/>
      <c r="C5" s="72"/>
      <c r="D5" s="72">
        <f>IF(Tabela2[[#This Row],[PN]]&lt;&gt;"",1,0)</f>
        <v>0</v>
      </c>
      <c r="H5" s="16"/>
      <c r="I5" s="16"/>
      <c r="Y5" s="14" t="s">
        <v>22</v>
      </c>
      <c r="Z5" s="12">
        <v>0</v>
      </c>
      <c r="AD5" s="64"/>
    </row>
    <row r="6" spans="2:30" ht="18.75" x14ac:dyDescent="0.3">
      <c r="B6" s="71"/>
      <c r="C6" s="72"/>
      <c r="D6" s="72">
        <f>IF(Tabela2[[#This Row],[PN]]&lt;&gt;"",1,0)</f>
        <v>0</v>
      </c>
      <c r="H6" s="16"/>
      <c r="I6" s="16"/>
    </row>
    <row r="7" spans="2:30" ht="18.75" x14ac:dyDescent="0.3">
      <c r="B7" s="71"/>
      <c r="C7" s="72"/>
      <c r="D7" s="72">
        <f>IF(Tabela2[[#This Row],[PN]]&lt;&gt;"",1,0)</f>
        <v>0</v>
      </c>
      <c r="H7" s="16"/>
      <c r="I7" s="16"/>
    </row>
    <row r="8" spans="2:30" ht="18.75" x14ac:dyDescent="0.3">
      <c r="B8" s="71"/>
      <c r="C8" s="72"/>
      <c r="D8" s="72">
        <f>IF(Tabela2[[#This Row],[PN]]&lt;&gt;"",1,0)</f>
        <v>0</v>
      </c>
      <c r="H8" s="16"/>
      <c r="I8" s="16"/>
    </row>
    <row r="9" spans="2:30" ht="18.75" x14ac:dyDescent="0.3">
      <c r="B9" s="71"/>
      <c r="C9" s="72"/>
      <c r="D9" s="72">
        <f>IF(Tabela2[[#This Row],[PN]]&lt;&gt;"",1,0)</f>
        <v>0</v>
      </c>
      <c r="H9" s="16"/>
      <c r="I9" s="16"/>
    </row>
    <row r="10" spans="2:30" ht="18.75" x14ac:dyDescent="0.3">
      <c r="B10" s="71"/>
      <c r="C10" s="72"/>
      <c r="D10" s="72">
        <f>IF(Tabela2[[#This Row],[PN]]&lt;&gt;"",1,0)</f>
        <v>0</v>
      </c>
      <c r="H10" s="16"/>
      <c r="I10" s="16"/>
    </row>
    <row r="11" spans="2:30" ht="18.75" x14ac:dyDescent="0.3">
      <c r="B11" s="71"/>
      <c r="C11" s="72"/>
      <c r="D11" s="72">
        <f>IF(Tabela2[[#This Row],[PN]]&lt;&gt;"",1,0)</f>
        <v>0</v>
      </c>
      <c r="H11" s="16"/>
      <c r="I11" s="16"/>
    </row>
    <row r="12" spans="2:30" ht="18.75" x14ac:dyDescent="0.3">
      <c r="B12" s="71"/>
      <c r="C12" s="72"/>
      <c r="D12" s="72">
        <f>IF(Tabela2[[#This Row],[PN]]&lt;&gt;"",1,0)</f>
        <v>0</v>
      </c>
      <c r="H12" s="16"/>
      <c r="I12" s="16"/>
    </row>
    <row r="13" spans="2:30" ht="18.75" x14ac:dyDescent="0.3">
      <c r="B13" s="71"/>
      <c r="C13" s="72"/>
      <c r="D13" s="72">
        <f>IF(Tabela2[[#This Row],[PN]]&lt;&gt;"",1,0)</f>
        <v>0</v>
      </c>
      <c r="H13" s="16"/>
      <c r="I13" s="16"/>
    </row>
    <row r="14" spans="2:30" ht="18.75" x14ac:dyDescent="0.3">
      <c r="B14" s="71"/>
      <c r="C14" s="72"/>
      <c r="D14" s="72">
        <f>IF(Tabela2[[#This Row],[PN]]&lt;&gt;"",1,0)</f>
        <v>0</v>
      </c>
      <c r="H14" s="16"/>
      <c r="I14" s="16"/>
    </row>
    <row r="15" spans="2:30" ht="18.75" x14ac:dyDescent="0.3">
      <c r="B15" s="71"/>
      <c r="C15" s="72"/>
      <c r="D15" s="72">
        <f>IF(Tabela2[[#This Row],[PN]]&lt;&gt;"",1,0)</f>
        <v>0</v>
      </c>
      <c r="H15" s="16"/>
      <c r="I15" s="16"/>
    </row>
    <row r="16" spans="2:30" ht="18.75" x14ac:dyDescent="0.3">
      <c r="B16" s="71"/>
      <c r="C16" s="72"/>
      <c r="D16" s="72">
        <f>IF(Tabela2[[#This Row],[PN]]&lt;&gt;"",1,0)</f>
        <v>0</v>
      </c>
      <c r="H16" s="16"/>
      <c r="I16" s="16"/>
    </row>
    <row r="17" spans="2:9" ht="18.75" x14ac:dyDescent="0.3">
      <c r="B17" s="71"/>
      <c r="C17" s="72"/>
      <c r="D17" s="72">
        <f>IF(Tabela2[[#This Row],[PN]]&lt;&gt;"",1,0)</f>
        <v>0</v>
      </c>
      <c r="H17" s="16"/>
      <c r="I17" s="16"/>
    </row>
    <row r="18" spans="2:9" ht="18.75" x14ac:dyDescent="0.3">
      <c r="B18" s="71"/>
      <c r="C18" s="72"/>
      <c r="D18" s="72">
        <f>IF(Tabela2[[#This Row],[PN]]&lt;&gt;"",1,0)</f>
        <v>0</v>
      </c>
      <c r="H18" s="16"/>
      <c r="I18" s="16"/>
    </row>
    <row r="19" spans="2:9" ht="18.75" x14ac:dyDescent="0.3">
      <c r="B19" s="71"/>
      <c r="C19" s="72"/>
      <c r="D19" s="72">
        <f>IF(Tabela2[[#This Row],[PN]]&lt;&gt;"",1,0)</f>
        <v>0</v>
      </c>
      <c r="H19" s="16"/>
      <c r="I19" s="16"/>
    </row>
    <row r="20" spans="2:9" ht="18.75" x14ac:dyDescent="0.3">
      <c r="B20" s="71"/>
      <c r="C20" s="72"/>
      <c r="D20" s="72">
        <f>IF(Tabela2[[#This Row],[PN]]&lt;&gt;"",1,0)</f>
        <v>0</v>
      </c>
      <c r="H20" s="16"/>
      <c r="I20" s="16"/>
    </row>
    <row r="21" spans="2:9" x14ac:dyDescent="0.25">
      <c r="H21" s="16"/>
      <c r="I21" s="16"/>
    </row>
    <row r="22" spans="2:9" x14ac:dyDescent="0.25">
      <c r="H22" s="16"/>
      <c r="I22" s="16"/>
    </row>
    <row r="23" spans="2:9" x14ac:dyDescent="0.25">
      <c r="H23" s="16"/>
      <c r="I23" s="16"/>
    </row>
    <row r="24" spans="2:9" x14ac:dyDescent="0.25">
      <c r="H24" s="16"/>
      <c r="I24" s="16"/>
    </row>
    <row r="25" spans="2:9" x14ac:dyDescent="0.25">
      <c r="H25" s="16"/>
      <c r="I25" s="16"/>
    </row>
    <row r="26" spans="2:9" x14ac:dyDescent="0.25">
      <c r="H26" s="16"/>
      <c r="I26" s="16"/>
    </row>
    <row r="27" spans="2:9" x14ac:dyDescent="0.25">
      <c r="H27" s="16"/>
      <c r="I27" s="16"/>
    </row>
    <row r="28" spans="2:9" x14ac:dyDescent="0.25">
      <c r="H28" s="16"/>
      <c r="I28" s="16"/>
    </row>
    <row r="29" spans="2:9" x14ac:dyDescent="0.25">
      <c r="H29" s="16"/>
      <c r="I29" s="16"/>
    </row>
    <row r="30" spans="2:9" x14ac:dyDescent="0.25">
      <c r="H30" s="16"/>
      <c r="I30" s="16"/>
    </row>
    <row r="31" spans="2:9" x14ac:dyDescent="0.25">
      <c r="H31" s="16"/>
      <c r="I31" s="16"/>
    </row>
    <row r="32" spans="2:9" x14ac:dyDescent="0.25">
      <c r="H32" s="16"/>
      <c r="I32" s="16"/>
    </row>
    <row r="33" spans="8:9" x14ac:dyDescent="0.25">
      <c r="H33" s="16"/>
      <c r="I33" s="16"/>
    </row>
    <row r="34" spans="8:9" x14ac:dyDescent="0.25">
      <c r="H34" s="16"/>
      <c r="I34" s="16"/>
    </row>
    <row r="35" spans="8:9" x14ac:dyDescent="0.25">
      <c r="H35" s="16"/>
      <c r="I35" s="16"/>
    </row>
    <row r="36" spans="8:9" x14ac:dyDescent="0.25">
      <c r="H36" s="16"/>
      <c r="I36" s="16"/>
    </row>
    <row r="37" spans="8:9" x14ac:dyDescent="0.25">
      <c r="H37" s="16"/>
      <c r="I37" s="16"/>
    </row>
    <row r="38" spans="8:9" x14ac:dyDescent="0.25">
      <c r="H38" s="16"/>
      <c r="I38" s="16"/>
    </row>
    <row r="39" spans="8:9" x14ac:dyDescent="0.25">
      <c r="H39" s="16"/>
      <c r="I39" s="16"/>
    </row>
    <row r="40" spans="8:9" x14ac:dyDescent="0.25">
      <c r="H40" s="16"/>
      <c r="I40" s="16"/>
    </row>
    <row r="41" spans="8:9" x14ac:dyDescent="0.25">
      <c r="H41" s="16"/>
      <c r="I41" s="16"/>
    </row>
    <row r="42" spans="8:9" x14ac:dyDescent="0.25">
      <c r="H42" s="16"/>
      <c r="I42" s="16"/>
    </row>
    <row r="43" spans="8:9" x14ac:dyDescent="0.25">
      <c r="H43" s="16"/>
      <c r="I43" s="16"/>
    </row>
    <row r="44" spans="8:9" x14ac:dyDescent="0.25">
      <c r="H44" s="16"/>
      <c r="I44" s="16"/>
    </row>
    <row r="45" spans="8:9" x14ac:dyDescent="0.25">
      <c r="H45" s="16"/>
      <c r="I45" s="16"/>
    </row>
    <row r="46" spans="8:9" x14ac:dyDescent="0.25">
      <c r="H46" s="16"/>
      <c r="I46" s="16"/>
    </row>
    <row r="47" spans="8:9" x14ac:dyDescent="0.25">
      <c r="H47" s="16"/>
      <c r="I47" s="16"/>
    </row>
    <row r="48" spans="8:9" x14ac:dyDescent="0.25">
      <c r="H48" s="16"/>
      <c r="I48" s="16"/>
    </row>
    <row r="49" spans="8:9" x14ac:dyDescent="0.25">
      <c r="H49" s="16"/>
      <c r="I49" s="16"/>
    </row>
    <row r="50" spans="8:9" x14ac:dyDescent="0.25">
      <c r="H50" s="16"/>
      <c r="I50" s="16"/>
    </row>
    <row r="51" spans="8:9" x14ac:dyDescent="0.25">
      <c r="H51" s="16"/>
      <c r="I51" s="16"/>
    </row>
    <row r="52" spans="8:9" x14ac:dyDescent="0.25">
      <c r="H52" s="16"/>
      <c r="I52" s="16"/>
    </row>
    <row r="53" spans="8:9" x14ac:dyDescent="0.25">
      <c r="H53" s="16"/>
      <c r="I53" s="16"/>
    </row>
    <row r="54" spans="8:9" x14ac:dyDescent="0.25">
      <c r="H54" s="16"/>
      <c r="I54" s="16"/>
    </row>
    <row r="55" spans="8:9" x14ac:dyDescent="0.25">
      <c r="H55" s="16"/>
      <c r="I55" s="16"/>
    </row>
    <row r="56" spans="8:9" x14ac:dyDescent="0.25">
      <c r="H56" s="16"/>
      <c r="I56" s="16"/>
    </row>
    <row r="57" spans="8:9" x14ac:dyDescent="0.25">
      <c r="H57" s="16"/>
      <c r="I57" s="16"/>
    </row>
    <row r="58" spans="8:9" x14ac:dyDescent="0.25">
      <c r="H58" s="16"/>
      <c r="I58" s="16"/>
    </row>
    <row r="59" spans="8:9" x14ac:dyDescent="0.25">
      <c r="H59" s="16"/>
      <c r="I59" s="16"/>
    </row>
    <row r="60" spans="8:9" x14ac:dyDescent="0.25">
      <c r="H60" s="16"/>
      <c r="I60" s="16"/>
    </row>
    <row r="61" spans="8:9" x14ac:dyDescent="0.25">
      <c r="H61" s="16"/>
      <c r="I61" s="16"/>
    </row>
    <row r="62" spans="8:9" x14ac:dyDescent="0.25">
      <c r="H62" s="16"/>
      <c r="I62" s="16"/>
    </row>
    <row r="63" spans="8:9" x14ac:dyDescent="0.25">
      <c r="H63" s="16"/>
      <c r="I63" s="16"/>
    </row>
    <row r="64" spans="8:9" x14ac:dyDescent="0.25">
      <c r="H64" s="16"/>
      <c r="I64" s="16"/>
    </row>
    <row r="65" spans="8:9" x14ac:dyDescent="0.25">
      <c r="H65" s="16"/>
      <c r="I65" s="16"/>
    </row>
    <row r="66" spans="8:9" x14ac:dyDescent="0.25">
      <c r="H66" s="16"/>
      <c r="I66" s="16"/>
    </row>
    <row r="67" spans="8:9" x14ac:dyDescent="0.25">
      <c r="H67" s="16"/>
      <c r="I67" s="16"/>
    </row>
    <row r="68" spans="8:9" x14ac:dyDescent="0.25">
      <c r="H68" s="16"/>
      <c r="I68" s="16"/>
    </row>
    <row r="69" spans="8:9" x14ac:dyDescent="0.25">
      <c r="H69" s="16"/>
      <c r="I69" s="16"/>
    </row>
    <row r="70" spans="8:9" x14ac:dyDescent="0.25">
      <c r="H70" s="16"/>
      <c r="I70" s="16"/>
    </row>
    <row r="71" spans="8:9" x14ac:dyDescent="0.25">
      <c r="H71" s="16"/>
      <c r="I71" s="16"/>
    </row>
    <row r="72" spans="8:9" x14ac:dyDescent="0.25">
      <c r="H72" s="16"/>
      <c r="I72" s="16"/>
    </row>
    <row r="73" spans="8:9" x14ac:dyDescent="0.25">
      <c r="H73" s="16"/>
      <c r="I73" s="16"/>
    </row>
    <row r="74" spans="8:9" x14ac:dyDescent="0.25">
      <c r="H74" s="16"/>
      <c r="I74" s="16"/>
    </row>
    <row r="75" spans="8:9" x14ac:dyDescent="0.25">
      <c r="H75" s="16"/>
      <c r="I75" s="16"/>
    </row>
    <row r="76" spans="8:9" x14ac:dyDescent="0.25">
      <c r="H76" s="16"/>
      <c r="I76" s="16"/>
    </row>
    <row r="77" spans="8:9" x14ac:dyDescent="0.25">
      <c r="H77" s="16"/>
      <c r="I77" s="16"/>
    </row>
    <row r="78" spans="8:9" x14ac:dyDescent="0.25">
      <c r="H78" s="16"/>
      <c r="I78" s="16"/>
    </row>
    <row r="79" spans="8:9" x14ac:dyDescent="0.25">
      <c r="H79" s="16"/>
      <c r="I79" s="16"/>
    </row>
    <row r="80" spans="8:9" x14ac:dyDescent="0.25">
      <c r="H80" s="16"/>
      <c r="I80" s="16"/>
    </row>
    <row r="81" spans="8:9" x14ac:dyDescent="0.25">
      <c r="H81" s="16"/>
      <c r="I81" s="16"/>
    </row>
    <row r="82" spans="8:9" x14ac:dyDescent="0.25">
      <c r="H82" s="16"/>
      <c r="I82" s="16"/>
    </row>
    <row r="83" spans="8:9" x14ac:dyDescent="0.25">
      <c r="H83" s="16"/>
      <c r="I83" s="16"/>
    </row>
    <row r="84" spans="8:9" x14ac:dyDescent="0.25">
      <c r="H84" s="16"/>
      <c r="I84" s="16"/>
    </row>
    <row r="85" spans="8:9" x14ac:dyDescent="0.25">
      <c r="H85" s="16"/>
      <c r="I85" s="16"/>
    </row>
    <row r="86" spans="8:9" x14ac:dyDescent="0.25">
      <c r="H86" s="16"/>
      <c r="I86" s="16"/>
    </row>
    <row r="87" spans="8:9" x14ac:dyDescent="0.25">
      <c r="H87" s="16"/>
      <c r="I87" s="16"/>
    </row>
    <row r="88" spans="8:9" x14ac:dyDescent="0.25">
      <c r="H88" s="16"/>
      <c r="I88" s="16"/>
    </row>
    <row r="89" spans="8:9" x14ac:dyDescent="0.25">
      <c r="H89" s="16"/>
      <c r="I89" s="16"/>
    </row>
    <row r="90" spans="8:9" x14ac:dyDescent="0.25">
      <c r="H90" s="16"/>
      <c r="I90" s="16"/>
    </row>
    <row r="91" spans="8:9" x14ac:dyDescent="0.25">
      <c r="H91" s="16"/>
      <c r="I91" s="16"/>
    </row>
    <row r="92" spans="8:9" x14ac:dyDescent="0.25">
      <c r="H92" s="16"/>
      <c r="I92" s="16"/>
    </row>
    <row r="93" spans="8:9" x14ac:dyDescent="0.25">
      <c r="H93" s="16"/>
      <c r="I93" s="16"/>
    </row>
    <row r="94" spans="8:9" x14ac:dyDescent="0.25">
      <c r="H94" s="16"/>
      <c r="I94" s="16"/>
    </row>
    <row r="95" spans="8:9" x14ac:dyDescent="0.25">
      <c r="H95" s="16"/>
      <c r="I95" s="16"/>
    </row>
    <row r="96" spans="8:9" x14ac:dyDescent="0.25">
      <c r="H96" s="16"/>
      <c r="I96" s="16"/>
    </row>
    <row r="97" spans="8:9" x14ac:dyDescent="0.25">
      <c r="H97" s="16"/>
      <c r="I97" s="16"/>
    </row>
    <row r="98" spans="8:9" x14ac:dyDescent="0.25">
      <c r="H98" s="16"/>
      <c r="I98" s="16"/>
    </row>
    <row r="99" spans="8:9" x14ac:dyDescent="0.25">
      <c r="H99" s="16"/>
      <c r="I99" s="16"/>
    </row>
    <row r="100" spans="8:9" x14ac:dyDescent="0.25">
      <c r="H100" s="16"/>
      <c r="I100" s="16"/>
    </row>
  </sheetData>
  <mergeCells count="1">
    <mergeCell ref="B2:D2"/>
  </mergeCells>
  <pageMargins left="0.511811024" right="0.511811024" top="0.78740157499999996" bottom="0.78740157499999996" header="0.31496062000000002" footer="0.31496062000000002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322F1-F853-41A7-93EE-056399ED13F8}">
  <sheetPr codeName="Planilha8"/>
  <dimension ref="A1:B430"/>
  <sheetViews>
    <sheetView workbookViewId="0">
      <selection activeCell="A10" sqref="A10"/>
    </sheetView>
  </sheetViews>
  <sheetFormatPr defaultRowHeight="15" x14ac:dyDescent="0.25"/>
  <cols>
    <col min="1" max="1" width="15.140625" style="63" bestFit="1" customWidth="1"/>
    <col min="2" max="2" width="14.7109375" bestFit="1" customWidth="1"/>
  </cols>
  <sheetData>
    <row r="1" spans="1:2" x14ac:dyDescent="0.25">
      <c r="A1" s="63" t="s">
        <v>1063</v>
      </c>
      <c r="B1" t="s">
        <v>2</v>
      </c>
    </row>
    <row r="2" spans="1:2" x14ac:dyDescent="0.25">
      <c r="A2" s="63">
        <v>7898672300015</v>
      </c>
      <c r="B2" t="s">
        <v>45</v>
      </c>
    </row>
    <row r="3" spans="1:2" x14ac:dyDescent="0.25">
      <c r="A3" s="63">
        <v>7898672300022</v>
      </c>
      <c r="B3" t="s">
        <v>47</v>
      </c>
    </row>
    <row r="4" spans="1:2" x14ac:dyDescent="0.25">
      <c r="A4" s="63">
        <v>7898672300039</v>
      </c>
      <c r="B4" t="s">
        <v>49</v>
      </c>
    </row>
    <row r="5" spans="1:2" x14ac:dyDescent="0.25">
      <c r="A5" s="63">
        <v>7898672300046</v>
      </c>
      <c r="B5" t="s">
        <v>51</v>
      </c>
    </row>
    <row r="6" spans="1:2" x14ac:dyDescent="0.25">
      <c r="A6" s="63">
        <v>7898672300053</v>
      </c>
      <c r="B6" t="s">
        <v>53</v>
      </c>
    </row>
    <row r="7" spans="1:2" x14ac:dyDescent="0.25">
      <c r="A7" s="63">
        <v>7898672300060</v>
      </c>
      <c r="B7" t="s">
        <v>55</v>
      </c>
    </row>
    <row r="8" spans="1:2" x14ac:dyDescent="0.25">
      <c r="A8" s="63">
        <v>7898672300077</v>
      </c>
      <c r="B8" t="s">
        <v>4</v>
      </c>
    </row>
    <row r="9" spans="1:2" x14ac:dyDescent="0.25">
      <c r="A9" s="63">
        <v>7898672300084</v>
      </c>
      <c r="B9" t="s">
        <v>57</v>
      </c>
    </row>
    <row r="10" spans="1:2" x14ac:dyDescent="0.25">
      <c r="A10" s="63">
        <v>7898672300091</v>
      </c>
      <c r="B10" t="s">
        <v>59</v>
      </c>
    </row>
    <row r="11" spans="1:2" x14ac:dyDescent="0.25">
      <c r="A11" s="63">
        <v>7898672300107</v>
      </c>
      <c r="B11" t="s">
        <v>61</v>
      </c>
    </row>
    <row r="12" spans="1:2" x14ac:dyDescent="0.25">
      <c r="A12" s="63">
        <v>7898672300114</v>
      </c>
      <c r="B12" t="s">
        <v>63</v>
      </c>
    </row>
    <row r="13" spans="1:2" x14ac:dyDescent="0.25">
      <c r="A13" s="63">
        <v>7898672300121</v>
      </c>
      <c r="B13" t="s">
        <v>65</v>
      </c>
    </row>
    <row r="14" spans="1:2" x14ac:dyDescent="0.25">
      <c r="A14" s="63">
        <v>7898672300138</v>
      </c>
      <c r="B14" t="s">
        <v>67</v>
      </c>
    </row>
    <row r="15" spans="1:2" x14ac:dyDescent="0.25">
      <c r="A15" s="63">
        <v>7898672300145</v>
      </c>
      <c r="B15" t="s">
        <v>69</v>
      </c>
    </row>
    <row r="16" spans="1:2" x14ac:dyDescent="0.25">
      <c r="A16" s="63">
        <v>7898672300152</v>
      </c>
      <c r="B16" t="s">
        <v>71</v>
      </c>
    </row>
    <row r="17" spans="1:2" x14ac:dyDescent="0.25">
      <c r="A17" s="63">
        <v>7898672300169</v>
      </c>
      <c r="B17" t="s">
        <v>73</v>
      </c>
    </row>
    <row r="18" spans="1:2" x14ac:dyDescent="0.25">
      <c r="A18" s="63">
        <v>7898672300176</v>
      </c>
      <c r="B18" t="s">
        <v>75</v>
      </c>
    </row>
    <row r="19" spans="1:2" x14ac:dyDescent="0.25">
      <c r="A19" s="63">
        <v>7898672300183</v>
      </c>
      <c r="B19" t="s">
        <v>77</v>
      </c>
    </row>
    <row r="20" spans="1:2" x14ac:dyDescent="0.25">
      <c r="A20" s="63">
        <v>7898672300190</v>
      </c>
      <c r="B20" t="s">
        <v>79</v>
      </c>
    </row>
    <row r="21" spans="1:2" x14ac:dyDescent="0.25">
      <c r="A21" s="63">
        <v>7898672300206</v>
      </c>
      <c r="B21" t="s">
        <v>81</v>
      </c>
    </row>
    <row r="22" spans="1:2" x14ac:dyDescent="0.25">
      <c r="A22" s="63">
        <v>7898672300213</v>
      </c>
      <c r="B22" t="s">
        <v>83</v>
      </c>
    </row>
    <row r="23" spans="1:2" x14ac:dyDescent="0.25">
      <c r="A23" s="63">
        <v>7898672300220</v>
      </c>
      <c r="B23" t="s">
        <v>84</v>
      </c>
    </row>
    <row r="24" spans="1:2" x14ac:dyDescent="0.25">
      <c r="A24" s="63">
        <v>7898672300237</v>
      </c>
      <c r="B24" t="s">
        <v>85</v>
      </c>
    </row>
    <row r="25" spans="1:2" x14ac:dyDescent="0.25">
      <c r="A25" s="63">
        <v>7898672300244</v>
      </c>
      <c r="B25" t="s">
        <v>86</v>
      </c>
    </row>
    <row r="26" spans="1:2" x14ac:dyDescent="0.25">
      <c r="A26" s="63">
        <v>7898672300251</v>
      </c>
      <c r="B26" t="s">
        <v>87</v>
      </c>
    </row>
    <row r="27" spans="1:2" x14ac:dyDescent="0.25">
      <c r="A27" s="63">
        <v>7898672300268</v>
      </c>
      <c r="B27" t="s">
        <v>88</v>
      </c>
    </row>
    <row r="28" spans="1:2" x14ac:dyDescent="0.25">
      <c r="A28" s="63">
        <v>7898672300275</v>
      </c>
      <c r="B28" t="s">
        <v>89</v>
      </c>
    </row>
    <row r="29" spans="1:2" x14ac:dyDescent="0.25">
      <c r="A29" s="63">
        <v>7898672300282</v>
      </c>
      <c r="B29" t="s">
        <v>90</v>
      </c>
    </row>
    <row r="30" spans="1:2" x14ac:dyDescent="0.25">
      <c r="A30" s="63">
        <v>7898672300299</v>
      </c>
      <c r="B30" t="s">
        <v>91</v>
      </c>
    </row>
    <row r="31" spans="1:2" x14ac:dyDescent="0.25">
      <c r="A31" s="63">
        <v>7898672300305</v>
      </c>
      <c r="B31" t="s">
        <v>92</v>
      </c>
    </row>
    <row r="32" spans="1:2" x14ac:dyDescent="0.25">
      <c r="A32" s="63">
        <v>7898672300312</v>
      </c>
      <c r="B32" t="s">
        <v>93</v>
      </c>
    </row>
    <row r="33" spans="1:2" x14ac:dyDescent="0.25">
      <c r="A33" s="63">
        <v>7898672300329</v>
      </c>
      <c r="B33" t="s">
        <v>94</v>
      </c>
    </row>
    <row r="34" spans="1:2" x14ac:dyDescent="0.25">
      <c r="A34" s="63">
        <v>7898672300336</v>
      </c>
      <c r="B34" t="s">
        <v>95</v>
      </c>
    </row>
    <row r="35" spans="1:2" x14ac:dyDescent="0.25">
      <c r="A35" s="63">
        <v>7898672300343</v>
      </c>
      <c r="B35" t="s">
        <v>96</v>
      </c>
    </row>
    <row r="36" spans="1:2" x14ac:dyDescent="0.25">
      <c r="A36" s="63">
        <v>7898672300350</v>
      </c>
      <c r="B36" t="s">
        <v>97</v>
      </c>
    </row>
    <row r="37" spans="1:2" x14ac:dyDescent="0.25">
      <c r="A37" s="63">
        <v>7898672300367</v>
      </c>
      <c r="B37" t="s">
        <v>98</v>
      </c>
    </row>
    <row r="38" spans="1:2" x14ac:dyDescent="0.25">
      <c r="A38" s="63">
        <v>7898672300374</v>
      </c>
      <c r="B38" t="s">
        <v>99</v>
      </c>
    </row>
    <row r="39" spans="1:2" x14ac:dyDescent="0.25">
      <c r="A39" s="63">
        <v>7898672300381</v>
      </c>
      <c r="B39" t="s">
        <v>100</v>
      </c>
    </row>
    <row r="40" spans="1:2" x14ac:dyDescent="0.25">
      <c r="A40" s="63">
        <v>7898672300398</v>
      </c>
      <c r="B40" t="s">
        <v>102</v>
      </c>
    </row>
    <row r="41" spans="1:2" x14ac:dyDescent="0.25">
      <c r="A41" s="63">
        <v>7898672300404</v>
      </c>
      <c r="B41" t="s">
        <v>104</v>
      </c>
    </row>
    <row r="42" spans="1:2" x14ac:dyDescent="0.25">
      <c r="A42" s="63">
        <v>7898672300411</v>
      </c>
      <c r="B42" t="s">
        <v>106</v>
      </c>
    </row>
    <row r="43" spans="1:2" x14ac:dyDescent="0.25">
      <c r="A43" s="63">
        <v>7898672300428</v>
      </c>
      <c r="B43" t="s">
        <v>108</v>
      </c>
    </row>
    <row r="44" spans="1:2" x14ac:dyDescent="0.25">
      <c r="A44" s="63">
        <v>7898672300435</v>
      </c>
      <c r="B44" t="s">
        <v>110</v>
      </c>
    </row>
    <row r="45" spans="1:2" x14ac:dyDescent="0.25">
      <c r="A45" s="63">
        <v>7898672300442</v>
      </c>
      <c r="B45" t="s">
        <v>112</v>
      </c>
    </row>
    <row r="46" spans="1:2" x14ac:dyDescent="0.25">
      <c r="A46" s="63">
        <v>7898672300459</v>
      </c>
      <c r="B46" t="s">
        <v>113</v>
      </c>
    </row>
    <row r="47" spans="1:2" x14ac:dyDescent="0.25">
      <c r="A47" s="63">
        <v>7898672300466</v>
      </c>
      <c r="B47" t="s">
        <v>114</v>
      </c>
    </row>
    <row r="48" spans="1:2" x14ac:dyDescent="0.25">
      <c r="A48" s="63">
        <v>7898672300473</v>
      </c>
      <c r="B48" t="s">
        <v>115</v>
      </c>
    </row>
    <row r="49" spans="1:2" x14ac:dyDescent="0.25">
      <c r="A49" s="63">
        <v>7898672300480</v>
      </c>
      <c r="B49" t="s">
        <v>116</v>
      </c>
    </row>
    <row r="50" spans="1:2" x14ac:dyDescent="0.25">
      <c r="A50" s="63">
        <v>7898672300497</v>
      </c>
      <c r="B50" t="s">
        <v>117</v>
      </c>
    </row>
    <row r="51" spans="1:2" x14ac:dyDescent="0.25">
      <c r="A51" s="63">
        <v>7898672300503</v>
      </c>
      <c r="B51" t="s">
        <v>118</v>
      </c>
    </row>
    <row r="52" spans="1:2" x14ac:dyDescent="0.25">
      <c r="A52" s="63">
        <v>7898672300510</v>
      </c>
      <c r="B52" t="s">
        <v>119</v>
      </c>
    </row>
    <row r="53" spans="1:2" x14ac:dyDescent="0.25">
      <c r="A53" s="63">
        <v>7898672300527</v>
      </c>
      <c r="B53" t="s">
        <v>120</v>
      </c>
    </row>
    <row r="54" spans="1:2" x14ac:dyDescent="0.25">
      <c r="A54" s="63">
        <v>7898672300534</v>
      </c>
      <c r="B54" t="s">
        <v>121</v>
      </c>
    </row>
    <row r="55" spans="1:2" x14ac:dyDescent="0.25">
      <c r="A55" s="63">
        <v>7898672300541</v>
      </c>
      <c r="B55" t="s">
        <v>123</v>
      </c>
    </row>
    <row r="56" spans="1:2" x14ac:dyDescent="0.25">
      <c r="A56" s="63">
        <v>7898672300558</v>
      </c>
      <c r="B56" t="s">
        <v>125</v>
      </c>
    </row>
    <row r="57" spans="1:2" x14ac:dyDescent="0.25">
      <c r="A57" s="63">
        <v>7898672300565</v>
      </c>
      <c r="B57" t="s">
        <v>127</v>
      </c>
    </row>
    <row r="58" spans="1:2" x14ac:dyDescent="0.25">
      <c r="A58" s="63">
        <v>7898672300572</v>
      </c>
      <c r="B58" t="s">
        <v>129</v>
      </c>
    </row>
    <row r="59" spans="1:2" x14ac:dyDescent="0.25">
      <c r="A59" s="63">
        <v>7898672300589</v>
      </c>
      <c r="B59" t="s">
        <v>131</v>
      </c>
    </row>
    <row r="60" spans="1:2" x14ac:dyDescent="0.25">
      <c r="A60" s="63">
        <v>7898672300596</v>
      </c>
      <c r="B60" t="s">
        <v>133</v>
      </c>
    </row>
    <row r="61" spans="1:2" x14ac:dyDescent="0.25">
      <c r="A61" s="63">
        <v>7898672300602</v>
      </c>
      <c r="B61" t="s">
        <v>135</v>
      </c>
    </row>
    <row r="62" spans="1:2" x14ac:dyDescent="0.25">
      <c r="A62" s="63">
        <v>7898672300619</v>
      </c>
      <c r="B62" t="s">
        <v>137</v>
      </c>
    </row>
    <row r="63" spans="1:2" x14ac:dyDescent="0.25">
      <c r="A63" s="63">
        <v>7898672300626</v>
      </c>
      <c r="B63" t="s">
        <v>139</v>
      </c>
    </row>
    <row r="64" spans="1:2" x14ac:dyDescent="0.25">
      <c r="A64" s="63">
        <v>7898672300633</v>
      </c>
      <c r="B64" t="s">
        <v>140</v>
      </c>
    </row>
    <row r="65" spans="1:2" x14ac:dyDescent="0.25">
      <c r="A65" s="63">
        <v>7898672300640</v>
      </c>
      <c r="B65" t="s">
        <v>141</v>
      </c>
    </row>
    <row r="66" spans="1:2" x14ac:dyDescent="0.25">
      <c r="A66" s="63">
        <v>7898672300657</v>
      </c>
      <c r="B66" t="s">
        <v>142</v>
      </c>
    </row>
    <row r="67" spans="1:2" x14ac:dyDescent="0.25">
      <c r="A67" s="63">
        <v>7898672300664</v>
      </c>
      <c r="B67" t="s">
        <v>143</v>
      </c>
    </row>
    <row r="68" spans="1:2" x14ac:dyDescent="0.25">
      <c r="A68" s="63">
        <v>7898672300671</v>
      </c>
      <c r="B68" t="s">
        <v>144</v>
      </c>
    </row>
    <row r="69" spans="1:2" x14ac:dyDescent="0.25">
      <c r="A69" s="63">
        <v>7898672300688</v>
      </c>
      <c r="B69" t="s">
        <v>145</v>
      </c>
    </row>
    <row r="70" spans="1:2" x14ac:dyDescent="0.25">
      <c r="A70" s="63">
        <v>7898672300695</v>
      </c>
      <c r="B70" t="s">
        <v>147</v>
      </c>
    </row>
    <row r="71" spans="1:2" x14ac:dyDescent="0.25">
      <c r="A71" s="63">
        <v>7898672300701</v>
      </c>
      <c r="B71" t="s">
        <v>149</v>
      </c>
    </row>
    <row r="72" spans="1:2" x14ac:dyDescent="0.25">
      <c r="A72" s="63">
        <v>7898672300718</v>
      </c>
      <c r="B72" t="s">
        <v>151</v>
      </c>
    </row>
    <row r="73" spans="1:2" x14ac:dyDescent="0.25">
      <c r="A73" s="63">
        <v>7898672300725</v>
      </c>
      <c r="B73" t="s">
        <v>153</v>
      </c>
    </row>
    <row r="74" spans="1:2" x14ac:dyDescent="0.25">
      <c r="A74" s="63">
        <v>7898672300732</v>
      </c>
      <c r="B74" t="s">
        <v>155</v>
      </c>
    </row>
    <row r="75" spans="1:2" x14ac:dyDescent="0.25">
      <c r="A75" s="63">
        <v>7898672300749</v>
      </c>
      <c r="B75" t="s">
        <v>157</v>
      </c>
    </row>
    <row r="76" spans="1:2" x14ac:dyDescent="0.25">
      <c r="A76" s="63">
        <v>7898672300756</v>
      </c>
      <c r="B76" t="s">
        <v>159</v>
      </c>
    </row>
    <row r="77" spans="1:2" x14ac:dyDescent="0.25">
      <c r="A77" s="63">
        <v>7898672300763</v>
      </c>
      <c r="B77" t="s">
        <v>161</v>
      </c>
    </row>
    <row r="78" spans="1:2" x14ac:dyDescent="0.25">
      <c r="A78" s="63">
        <v>7898672300770</v>
      </c>
      <c r="B78" t="s">
        <v>163</v>
      </c>
    </row>
    <row r="79" spans="1:2" x14ac:dyDescent="0.25">
      <c r="A79" s="63">
        <v>7898672300787</v>
      </c>
      <c r="B79" t="s">
        <v>165</v>
      </c>
    </row>
    <row r="80" spans="1:2" x14ac:dyDescent="0.25">
      <c r="A80" s="63">
        <v>7898672300794</v>
      </c>
      <c r="B80" t="s">
        <v>169</v>
      </c>
    </row>
    <row r="81" spans="1:2" x14ac:dyDescent="0.25">
      <c r="A81" s="63">
        <v>7898672300800</v>
      </c>
      <c r="B81" t="s">
        <v>171</v>
      </c>
    </row>
    <row r="82" spans="1:2" x14ac:dyDescent="0.25">
      <c r="A82" s="63">
        <v>7898672300817</v>
      </c>
      <c r="B82" t="s">
        <v>173</v>
      </c>
    </row>
    <row r="83" spans="1:2" x14ac:dyDescent="0.25">
      <c r="A83" s="63">
        <v>7898672300824</v>
      </c>
      <c r="B83" t="s">
        <v>175</v>
      </c>
    </row>
    <row r="84" spans="1:2" x14ac:dyDescent="0.25">
      <c r="A84" s="63">
        <v>7898672300831</v>
      </c>
      <c r="B84" t="s">
        <v>176</v>
      </c>
    </row>
    <row r="85" spans="1:2" x14ac:dyDescent="0.25">
      <c r="A85" s="63">
        <v>7898672300848</v>
      </c>
      <c r="B85" t="s">
        <v>177</v>
      </c>
    </row>
    <row r="86" spans="1:2" x14ac:dyDescent="0.25">
      <c r="A86" s="63">
        <v>7898672300855</v>
      </c>
      <c r="B86" t="s">
        <v>178</v>
      </c>
    </row>
    <row r="87" spans="1:2" x14ac:dyDescent="0.25">
      <c r="A87" s="63">
        <v>7898672300862</v>
      </c>
      <c r="B87" t="s">
        <v>180</v>
      </c>
    </row>
    <row r="88" spans="1:2" x14ac:dyDescent="0.25">
      <c r="A88" s="63">
        <v>7898672300879</v>
      </c>
      <c r="B88" t="s">
        <v>182</v>
      </c>
    </row>
    <row r="89" spans="1:2" x14ac:dyDescent="0.25">
      <c r="A89" s="63">
        <v>7898672300886</v>
      </c>
      <c r="B89" t="s">
        <v>184</v>
      </c>
    </row>
    <row r="90" spans="1:2" x14ac:dyDescent="0.25">
      <c r="A90" s="63">
        <v>7898672300893</v>
      </c>
      <c r="B90" t="s">
        <v>186</v>
      </c>
    </row>
    <row r="91" spans="1:2" x14ac:dyDescent="0.25">
      <c r="A91" s="63">
        <v>7898672300909</v>
      </c>
      <c r="B91" t="s">
        <v>188</v>
      </c>
    </row>
    <row r="92" spans="1:2" x14ac:dyDescent="0.25">
      <c r="A92" s="63">
        <v>7898672300916</v>
      </c>
      <c r="B92" t="s">
        <v>190</v>
      </c>
    </row>
    <row r="93" spans="1:2" x14ac:dyDescent="0.25">
      <c r="A93" s="63">
        <v>7898672300923</v>
      </c>
      <c r="B93" t="s">
        <v>191</v>
      </c>
    </row>
    <row r="94" spans="1:2" x14ac:dyDescent="0.25">
      <c r="A94" s="63">
        <v>7898672300930</v>
      </c>
      <c r="B94" t="s">
        <v>192</v>
      </c>
    </row>
    <row r="95" spans="1:2" x14ac:dyDescent="0.25">
      <c r="A95" s="63">
        <v>7898672300947</v>
      </c>
      <c r="B95" t="s">
        <v>193</v>
      </c>
    </row>
    <row r="96" spans="1:2" x14ac:dyDescent="0.25">
      <c r="A96" s="63">
        <v>7898672300954</v>
      </c>
      <c r="B96" t="s">
        <v>195</v>
      </c>
    </row>
    <row r="97" spans="1:2" x14ac:dyDescent="0.25">
      <c r="A97" s="63">
        <v>7898672300961</v>
      </c>
      <c r="B97" t="s">
        <v>197</v>
      </c>
    </row>
    <row r="98" spans="1:2" x14ac:dyDescent="0.25">
      <c r="A98" s="63">
        <v>7898672300978</v>
      </c>
      <c r="B98" t="s">
        <v>199</v>
      </c>
    </row>
    <row r="99" spans="1:2" x14ac:dyDescent="0.25">
      <c r="A99" s="63">
        <v>7898672300985</v>
      </c>
      <c r="B99" t="s">
        <v>201</v>
      </c>
    </row>
    <row r="100" spans="1:2" x14ac:dyDescent="0.25">
      <c r="A100" s="63">
        <v>7898672300992</v>
      </c>
      <c r="B100" t="s">
        <v>203</v>
      </c>
    </row>
    <row r="101" spans="1:2" x14ac:dyDescent="0.25">
      <c r="A101" s="63">
        <v>7898672301005</v>
      </c>
      <c r="B101" t="s">
        <v>205</v>
      </c>
    </row>
    <row r="102" spans="1:2" x14ac:dyDescent="0.25">
      <c r="A102" s="63">
        <v>7898672301012</v>
      </c>
      <c r="B102" t="s">
        <v>206</v>
      </c>
    </row>
    <row r="103" spans="1:2" x14ac:dyDescent="0.25">
      <c r="A103" s="63">
        <v>7898672301029</v>
      </c>
      <c r="B103" t="s">
        <v>207</v>
      </c>
    </row>
    <row r="104" spans="1:2" x14ac:dyDescent="0.25">
      <c r="A104" s="63">
        <v>7898672301036</v>
      </c>
      <c r="B104" t="s">
        <v>208</v>
      </c>
    </row>
    <row r="105" spans="1:2" x14ac:dyDescent="0.25">
      <c r="A105" s="63">
        <v>7898672301043</v>
      </c>
      <c r="B105" t="s">
        <v>210</v>
      </c>
    </row>
    <row r="106" spans="1:2" x14ac:dyDescent="0.25">
      <c r="A106" s="63">
        <v>7898672301050</v>
      </c>
      <c r="B106" t="s">
        <v>212</v>
      </c>
    </row>
    <row r="107" spans="1:2" x14ac:dyDescent="0.25">
      <c r="A107" s="63">
        <v>7898672301067</v>
      </c>
      <c r="B107" t="s">
        <v>214</v>
      </c>
    </row>
    <row r="108" spans="1:2" x14ac:dyDescent="0.25">
      <c r="A108" s="63">
        <v>7898672301074</v>
      </c>
      <c r="B108" t="s">
        <v>215</v>
      </c>
    </row>
    <row r="109" spans="1:2" x14ac:dyDescent="0.25">
      <c r="A109" s="63">
        <v>7898672301081</v>
      </c>
      <c r="B109" t="s">
        <v>216</v>
      </c>
    </row>
    <row r="110" spans="1:2" x14ac:dyDescent="0.25">
      <c r="A110" s="63">
        <v>7898672301098</v>
      </c>
      <c r="B110" t="s">
        <v>217</v>
      </c>
    </row>
    <row r="111" spans="1:2" x14ac:dyDescent="0.25">
      <c r="A111" s="63">
        <v>7898672301104</v>
      </c>
      <c r="B111" t="s">
        <v>218</v>
      </c>
    </row>
    <row r="112" spans="1:2" x14ac:dyDescent="0.25">
      <c r="A112" s="63">
        <v>7898672301111</v>
      </c>
      <c r="B112" t="s">
        <v>219</v>
      </c>
    </row>
    <row r="113" spans="1:2" x14ac:dyDescent="0.25">
      <c r="A113" s="63">
        <v>7898672301128</v>
      </c>
      <c r="B113" t="s">
        <v>220</v>
      </c>
    </row>
    <row r="114" spans="1:2" x14ac:dyDescent="0.25">
      <c r="A114" s="63">
        <v>7898672301135</v>
      </c>
      <c r="B114" t="s">
        <v>222</v>
      </c>
    </row>
    <row r="115" spans="1:2" x14ac:dyDescent="0.25">
      <c r="A115" s="63">
        <v>7898672301142</v>
      </c>
      <c r="B115" t="s">
        <v>224</v>
      </c>
    </row>
    <row r="116" spans="1:2" x14ac:dyDescent="0.25">
      <c r="A116" s="63">
        <v>7898672301159</v>
      </c>
      <c r="B116" t="s">
        <v>226</v>
      </c>
    </row>
    <row r="117" spans="1:2" x14ac:dyDescent="0.25">
      <c r="A117" s="63">
        <v>7898672301166</v>
      </c>
      <c r="B117" t="s">
        <v>228</v>
      </c>
    </row>
    <row r="118" spans="1:2" x14ac:dyDescent="0.25">
      <c r="A118" s="63">
        <v>7898672301173</v>
      </c>
      <c r="B118" t="s">
        <v>230</v>
      </c>
    </row>
    <row r="119" spans="1:2" x14ac:dyDescent="0.25">
      <c r="A119" s="63">
        <v>7898672301180</v>
      </c>
      <c r="B119" t="s">
        <v>232</v>
      </c>
    </row>
    <row r="120" spans="1:2" x14ac:dyDescent="0.25">
      <c r="A120" s="63">
        <v>7898672301197</v>
      </c>
      <c r="B120" t="s">
        <v>234</v>
      </c>
    </row>
    <row r="121" spans="1:2" x14ac:dyDescent="0.25">
      <c r="A121" s="63">
        <v>7898672301203</v>
      </c>
      <c r="B121" t="s">
        <v>236</v>
      </c>
    </row>
    <row r="122" spans="1:2" x14ac:dyDescent="0.25">
      <c r="A122" s="63">
        <v>7898672301210</v>
      </c>
      <c r="B122" t="s">
        <v>238</v>
      </c>
    </row>
    <row r="123" spans="1:2" x14ac:dyDescent="0.25">
      <c r="A123" s="63">
        <v>7898672301227</v>
      </c>
      <c r="B123" t="s">
        <v>240</v>
      </c>
    </row>
    <row r="124" spans="1:2" x14ac:dyDescent="0.25">
      <c r="A124" s="63">
        <v>7898672301234</v>
      </c>
      <c r="B124" t="s">
        <v>242</v>
      </c>
    </row>
    <row r="125" spans="1:2" x14ac:dyDescent="0.25">
      <c r="A125" s="63">
        <v>7898672301241</v>
      </c>
      <c r="B125" t="s">
        <v>244</v>
      </c>
    </row>
    <row r="126" spans="1:2" x14ac:dyDescent="0.25">
      <c r="A126" s="63">
        <v>7898672301258</v>
      </c>
      <c r="B126" t="s">
        <v>246</v>
      </c>
    </row>
    <row r="127" spans="1:2" x14ac:dyDescent="0.25">
      <c r="A127" s="63">
        <v>7898672301265</v>
      </c>
      <c r="B127" t="s">
        <v>248</v>
      </c>
    </row>
    <row r="128" spans="1:2" x14ac:dyDescent="0.25">
      <c r="A128" s="63">
        <v>7898672301272</v>
      </c>
      <c r="B128" t="s">
        <v>250</v>
      </c>
    </row>
    <row r="129" spans="1:2" x14ac:dyDescent="0.25">
      <c r="A129" s="63">
        <v>7898672301289</v>
      </c>
      <c r="B129" t="s">
        <v>252</v>
      </c>
    </row>
    <row r="130" spans="1:2" x14ac:dyDescent="0.25">
      <c r="A130" s="63">
        <v>7898672301296</v>
      </c>
      <c r="B130" t="s">
        <v>254</v>
      </c>
    </row>
    <row r="131" spans="1:2" x14ac:dyDescent="0.25">
      <c r="A131" s="63">
        <v>7898672301302</v>
      </c>
      <c r="B131" t="s">
        <v>256</v>
      </c>
    </row>
    <row r="132" spans="1:2" x14ac:dyDescent="0.25">
      <c r="A132" s="63">
        <v>78986723013019</v>
      </c>
      <c r="B132" t="s">
        <v>257</v>
      </c>
    </row>
    <row r="133" spans="1:2" x14ac:dyDescent="0.25">
      <c r="A133" s="63">
        <v>7898672301326</v>
      </c>
      <c r="B133" t="s">
        <v>258</v>
      </c>
    </row>
    <row r="134" spans="1:2" x14ac:dyDescent="0.25">
      <c r="A134" s="63">
        <v>7898672301333</v>
      </c>
      <c r="B134" t="s">
        <v>259</v>
      </c>
    </row>
    <row r="135" spans="1:2" x14ac:dyDescent="0.25">
      <c r="A135" s="63">
        <v>7898672301340</v>
      </c>
      <c r="B135" t="s">
        <v>261</v>
      </c>
    </row>
    <row r="136" spans="1:2" x14ac:dyDescent="0.25">
      <c r="A136" s="63">
        <v>7898672301357</v>
      </c>
      <c r="B136" t="s">
        <v>263</v>
      </c>
    </row>
    <row r="137" spans="1:2" x14ac:dyDescent="0.25">
      <c r="A137" s="63">
        <v>7898672301364</v>
      </c>
      <c r="B137" t="s">
        <v>265</v>
      </c>
    </row>
    <row r="138" spans="1:2" x14ac:dyDescent="0.25">
      <c r="A138" s="63">
        <v>7898672301371</v>
      </c>
      <c r="B138" t="s">
        <v>267</v>
      </c>
    </row>
    <row r="139" spans="1:2" x14ac:dyDescent="0.25">
      <c r="A139" s="63">
        <v>7898672301388</v>
      </c>
      <c r="B139" t="s">
        <v>269</v>
      </c>
    </row>
    <row r="140" spans="1:2" x14ac:dyDescent="0.25">
      <c r="A140" s="63">
        <v>7898672301395</v>
      </c>
      <c r="B140" t="s">
        <v>271</v>
      </c>
    </row>
    <row r="141" spans="1:2" x14ac:dyDescent="0.25">
      <c r="A141" s="63">
        <v>7898672301401</v>
      </c>
      <c r="B141" t="s">
        <v>273</v>
      </c>
    </row>
    <row r="142" spans="1:2" x14ac:dyDescent="0.25">
      <c r="A142" s="63">
        <v>7898672301418</v>
      </c>
      <c r="B142" t="s">
        <v>275</v>
      </c>
    </row>
    <row r="143" spans="1:2" x14ac:dyDescent="0.25">
      <c r="A143" s="63">
        <v>7898672301425</v>
      </c>
      <c r="B143" t="s">
        <v>277</v>
      </c>
    </row>
    <row r="144" spans="1:2" x14ac:dyDescent="0.25">
      <c r="A144" s="63">
        <v>7898672301432</v>
      </c>
      <c r="B144" t="s">
        <v>279</v>
      </c>
    </row>
    <row r="145" spans="1:2" x14ac:dyDescent="0.25">
      <c r="A145" s="63">
        <v>7898672301449</v>
      </c>
      <c r="B145" t="s">
        <v>281</v>
      </c>
    </row>
    <row r="146" spans="1:2" x14ac:dyDescent="0.25">
      <c r="A146" s="63">
        <v>7898672301456</v>
      </c>
      <c r="B146" t="s">
        <v>283</v>
      </c>
    </row>
    <row r="147" spans="1:2" x14ac:dyDescent="0.25">
      <c r="A147" s="63">
        <v>7898672301463</v>
      </c>
      <c r="B147" t="s">
        <v>285</v>
      </c>
    </row>
    <row r="148" spans="1:2" x14ac:dyDescent="0.25">
      <c r="A148" s="63">
        <v>7898672301470</v>
      </c>
      <c r="B148" t="s">
        <v>287</v>
      </c>
    </row>
    <row r="149" spans="1:2" x14ac:dyDescent="0.25">
      <c r="A149" s="63">
        <v>7898672301487</v>
      </c>
      <c r="B149" t="s">
        <v>27</v>
      </c>
    </row>
    <row r="150" spans="1:2" x14ac:dyDescent="0.25">
      <c r="A150" s="63">
        <v>7898672301494</v>
      </c>
      <c r="B150" t="s">
        <v>290</v>
      </c>
    </row>
    <row r="151" spans="1:2" x14ac:dyDescent="0.25">
      <c r="A151" s="63">
        <v>7898672301500</v>
      </c>
      <c r="B151" t="s">
        <v>292</v>
      </c>
    </row>
    <row r="152" spans="1:2" x14ac:dyDescent="0.25">
      <c r="A152" s="63">
        <v>7898672301517</v>
      </c>
      <c r="B152" t="s">
        <v>294</v>
      </c>
    </row>
    <row r="153" spans="1:2" x14ac:dyDescent="0.25">
      <c r="A153" s="63">
        <v>7898672301524</v>
      </c>
      <c r="B153" t="s">
        <v>296</v>
      </c>
    </row>
    <row r="154" spans="1:2" x14ac:dyDescent="0.25">
      <c r="A154" s="63">
        <v>7898672301531</v>
      </c>
      <c r="B154" t="s">
        <v>298</v>
      </c>
    </row>
    <row r="155" spans="1:2" x14ac:dyDescent="0.25">
      <c r="A155" s="63">
        <v>7898672301548</v>
      </c>
      <c r="B155" t="s">
        <v>300</v>
      </c>
    </row>
    <row r="156" spans="1:2" x14ac:dyDescent="0.25">
      <c r="A156" s="63">
        <v>7898672301555</v>
      </c>
      <c r="B156" t="s">
        <v>302</v>
      </c>
    </row>
    <row r="157" spans="1:2" x14ac:dyDescent="0.25">
      <c r="A157" s="63">
        <v>7898672301562</v>
      </c>
      <c r="B157" t="s">
        <v>304</v>
      </c>
    </row>
    <row r="158" spans="1:2" x14ac:dyDescent="0.25">
      <c r="A158" s="63">
        <v>7898672301579</v>
      </c>
      <c r="B158" t="s">
        <v>306</v>
      </c>
    </row>
    <row r="159" spans="1:2" x14ac:dyDescent="0.25">
      <c r="A159" s="63">
        <v>7898672301586</v>
      </c>
      <c r="B159" t="s">
        <v>307</v>
      </c>
    </row>
    <row r="160" spans="1:2" x14ac:dyDescent="0.25">
      <c r="A160" s="63">
        <v>7898672301593</v>
      </c>
      <c r="B160" t="s">
        <v>308</v>
      </c>
    </row>
    <row r="161" spans="1:2" x14ac:dyDescent="0.25">
      <c r="A161" s="63">
        <v>7898672301609</v>
      </c>
      <c r="B161" t="s">
        <v>309</v>
      </c>
    </row>
    <row r="162" spans="1:2" x14ac:dyDescent="0.25">
      <c r="A162" s="63">
        <v>7898672301616</v>
      </c>
      <c r="B162" t="s">
        <v>311</v>
      </c>
    </row>
    <row r="163" spans="1:2" x14ac:dyDescent="0.25">
      <c r="A163" s="63">
        <v>7898672301623</v>
      </c>
      <c r="B163" t="s">
        <v>313</v>
      </c>
    </row>
    <row r="164" spans="1:2" x14ac:dyDescent="0.25">
      <c r="A164" s="63">
        <v>7898672301630</v>
      </c>
      <c r="B164" t="s">
        <v>315</v>
      </c>
    </row>
    <row r="165" spans="1:2" x14ac:dyDescent="0.25">
      <c r="A165" s="63">
        <v>7898672301647</v>
      </c>
      <c r="B165" t="s">
        <v>644</v>
      </c>
    </row>
    <row r="166" spans="1:2" x14ac:dyDescent="0.25">
      <c r="A166" s="63">
        <v>7898672301654</v>
      </c>
      <c r="B166" t="s">
        <v>646</v>
      </c>
    </row>
    <row r="167" spans="1:2" x14ac:dyDescent="0.25">
      <c r="A167" s="63">
        <v>7898672301661</v>
      </c>
      <c r="B167" t="s">
        <v>648</v>
      </c>
    </row>
    <row r="168" spans="1:2" x14ac:dyDescent="0.25">
      <c r="A168" s="63">
        <v>7898672301678</v>
      </c>
      <c r="B168" t="s">
        <v>317</v>
      </c>
    </row>
    <row r="169" spans="1:2" x14ac:dyDescent="0.25">
      <c r="A169" s="63">
        <v>7898672301685</v>
      </c>
      <c r="B169" t="s">
        <v>319</v>
      </c>
    </row>
    <row r="170" spans="1:2" x14ac:dyDescent="0.25">
      <c r="A170" s="63">
        <v>7898672301692</v>
      </c>
      <c r="B170" t="s">
        <v>321</v>
      </c>
    </row>
    <row r="171" spans="1:2" x14ac:dyDescent="0.25">
      <c r="A171" s="63">
        <v>7898672301708</v>
      </c>
      <c r="B171" t="s">
        <v>322</v>
      </c>
    </row>
    <row r="172" spans="1:2" x14ac:dyDescent="0.25">
      <c r="A172" s="63">
        <v>7898672301715</v>
      </c>
      <c r="B172" t="s">
        <v>323</v>
      </c>
    </row>
    <row r="173" spans="1:2" x14ac:dyDescent="0.25">
      <c r="A173" s="63">
        <v>7898672301722</v>
      </c>
      <c r="B173" t="s">
        <v>324</v>
      </c>
    </row>
    <row r="174" spans="1:2" x14ac:dyDescent="0.25">
      <c r="A174" s="63">
        <v>7898672301739</v>
      </c>
      <c r="B174" t="s">
        <v>325</v>
      </c>
    </row>
    <row r="175" spans="1:2" x14ac:dyDescent="0.25">
      <c r="A175" s="63">
        <v>7898672301746</v>
      </c>
      <c r="B175" t="s">
        <v>326</v>
      </c>
    </row>
    <row r="176" spans="1:2" x14ac:dyDescent="0.25">
      <c r="A176" s="63">
        <v>7898672301753</v>
      </c>
      <c r="B176" t="s">
        <v>327</v>
      </c>
    </row>
    <row r="177" spans="1:2" x14ac:dyDescent="0.25">
      <c r="A177" s="63">
        <v>7898672301760</v>
      </c>
      <c r="B177" t="s">
        <v>328</v>
      </c>
    </row>
    <row r="178" spans="1:2" x14ac:dyDescent="0.25">
      <c r="A178" s="63">
        <v>7898672301777</v>
      </c>
      <c r="B178" t="s">
        <v>329</v>
      </c>
    </row>
    <row r="179" spans="1:2" x14ac:dyDescent="0.25">
      <c r="A179" s="63">
        <v>7898672301784</v>
      </c>
      <c r="B179" t="s">
        <v>330</v>
      </c>
    </row>
    <row r="180" spans="1:2" x14ac:dyDescent="0.25">
      <c r="A180" s="63">
        <v>7898672301791</v>
      </c>
      <c r="B180" t="s">
        <v>332</v>
      </c>
    </row>
    <row r="181" spans="1:2" x14ac:dyDescent="0.25">
      <c r="A181" s="63">
        <v>7898672301807</v>
      </c>
      <c r="B181" t="s">
        <v>334</v>
      </c>
    </row>
    <row r="182" spans="1:2" x14ac:dyDescent="0.25">
      <c r="A182" s="63">
        <v>7898672301814</v>
      </c>
      <c r="B182" t="s">
        <v>336</v>
      </c>
    </row>
    <row r="183" spans="1:2" x14ac:dyDescent="0.25">
      <c r="A183" s="63">
        <v>7898672301821</v>
      </c>
      <c r="B183" t="s">
        <v>338</v>
      </c>
    </row>
    <row r="184" spans="1:2" x14ac:dyDescent="0.25">
      <c r="A184" s="63">
        <v>7898672301838</v>
      </c>
      <c r="B184" t="s">
        <v>340</v>
      </c>
    </row>
    <row r="185" spans="1:2" x14ac:dyDescent="0.25">
      <c r="A185" s="63">
        <v>7898672301845</v>
      </c>
      <c r="B185" t="s">
        <v>342</v>
      </c>
    </row>
    <row r="186" spans="1:2" x14ac:dyDescent="0.25">
      <c r="A186" s="63">
        <v>7898672304051</v>
      </c>
      <c r="B186" t="s">
        <v>343</v>
      </c>
    </row>
    <row r="187" spans="1:2" x14ac:dyDescent="0.25">
      <c r="A187" s="63">
        <v>7898672304068</v>
      </c>
      <c r="B187" t="s">
        <v>344</v>
      </c>
    </row>
    <row r="188" spans="1:2" x14ac:dyDescent="0.25">
      <c r="A188" s="63">
        <v>7898672303610</v>
      </c>
      <c r="B188" t="s">
        <v>345</v>
      </c>
    </row>
    <row r="189" spans="1:2" x14ac:dyDescent="0.25">
      <c r="A189" s="63">
        <v>7898672301852</v>
      </c>
      <c r="B189" t="s">
        <v>347</v>
      </c>
    </row>
    <row r="190" spans="1:2" x14ac:dyDescent="0.25">
      <c r="A190" s="63">
        <v>7898672301869</v>
      </c>
      <c r="B190" t="s">
        <v>349</v>
      </c>
    </row>
    <row r="191" spans="1:2" x14ac:dyDescent="0.25">
      <c r="A191" s="63">
        <v>7898672301876</v>
      </c>
      <c r="B191" t="s">
        <v>351</v>
      </c>
    </row>
    <row r="192" spans="1:2" x14ac:dyDescent="0.25">
      <c r="A192" s="63">
        <v>7898672301883</v>
      </c>
      <c r="B192" t="s">
        <v>356</v>
      </c>
    </row>
    <row r="193" spans="1:2" x14ac:dyDescent="0.25">
      <c r="A193" s="63">
        <v>7898672301890</v>
      </c>
      <c r="B193" t="s">
        <v>358</v>
      </c>
    </row>
    <row r="194" spans="1:2" x14ac:dyDescent="0.25">
      <c r="A194" s="63">
        <v>7898672301906</v>
      </c>
      <c r="B194" t="s">
        <v>360</v>
      </c>
    </row>
    <row r="195" spans="1:2" x14ac:dyDescent="0.25">
      <c r="A195" s="63">
        <v>7898672301913</v>
      </c>
      <c r="B195" t="s">
        <v>361</v>
      </c>
    </row>
    <row r="196" spans="1:2" x14ac:dyDescent="0.25">
      <c r="A196" s="63">
        <v>7898672301920</v>
      </c>
      <c r="B196" t="s">
        <v>362</v>
      </c>
    </row>
    <row r="197" spans="1:2" x14ac:dyDescent="0.25">
      <c r="A197" s="63">
        <v>7898672301937</v>
      </c>
      <c r="B197" t="s">
        <v>363</v>
      </c>
    </row>
    <row r="198" spans="1:2" x14ac:dyDescent="0.25">
      <c r="A198" s="63">
        <v>7898672301944</v>
      </c>
      <c r="B198" t="s">
        <v>364</v>
      </c>
    </row>
    <row r="199" spans="1:2" x14ac:dyDescent="0.25">
      <c r="A199" s="63">
        <v>7898672301951</v>
      </c>
      <c r="B199" t="s">
        <v>365</v>
      </c>
    </row>
    <row r="200" spans="1:2" x14ac:dyDescent="0.25">
      <c r="A200" s="63">
        <v>7898672301968</v>
      </c>
      <c r="B200" t="s">
        <v>366</v>
      </c>
    </row>
    <row r="201" spans="1:2" x14ac:dyDescent="0.25">
      <c r="A201" s="63">
        <v>7898672301975</v>
      </c>
      <c r="B201" t="s">
        <v>368</v>
      </c>
    </row>
    <row r="202" spans="1:2" x14ac:dyDescent="0.25">
      <c r="A202" s="63">
        <v>7898672301982</v>
      </c>
      <c r="B202" t="s">
        <v>370</v>
      </c>
    </row>
    <row r="203" spans="1:2" x14ac:dyDescent="0.25">
      <c r="A203" s="63">
        <v>7898672301999</v>
      </c>
      <c r="B203" t="s">
        <v>372</v>
      </c>
    </row>
    <row r="204" spans="1:2" x14ac:dyDescent="0.25">
      <c r="A204" s="63">
        <v>7898672302002</v>
      </c>
      <c r="B204" t="s">
        <v>373</v>
      </c>
    </row>
    <row r="205" spans="1:2" x14ac:dyDescent="0.25">
      <c r="A205" s="63">
        <v>7898672302019</v>
      </c>
      <c r="B205" t="s">
        <v>374</v>
      </c>
    </row>
    <row r="206" spans="1:2" x14ac:dyDescent="0.25">
      <c r="A206" s="63">
        <v>7898672302026</v>
      </c>
      <c r="B206" t="s">
        <v>375</v>
      </c>
    </row>
    <row r="207" spans="1:2" x14ac:dyDescent="0.25">
      <c r="A207" s="63">
        <v>7898672302033</v>
      </c>
      <c r="B207" t="s">
        <v>376</v>
      </c>
    </row>
    <row r="208" spans="1:2" x14ac:dyDescent="0.25">
      <c r="A208" s="63">
        <v>7898672302040</v>
      </c>
      <c r="B208" t="s">
        <v>377</v>
      </c>
    </row>
    <row r="209" spans="1:2" x14ac:dyDescent="0.25">
      <c r="A209" s="63">
        <v>7898672302057</v>
      </c>
      <c r="B209" t="s">
        <v>378</v>
      </c>
    </row>
    <row r="210" spans="1:2" x14ac:dyDescent="0.25">
      <c r="A210" s="63">
        <v>7898672302064</v>
      </c>
      <c r="B210" t="s">
        <v>380</v>
      </c>
    </row>
    <row r="211" spans="1:2" x14ac:dyDescent="0.25">
      <c r="A211" s="63">
        <v>7898672302071</v>
      </c>
      <c r="B211" t="s">
        <v>382</v>
      </c>
    </row>
    <row r="212" spans="1:2" x14ac:dyDescent="0.25">
      <c r="A212" s="63">
        <v>7898672302088</v>
      </c>
      <c r="B212" t="s">
        <v>384</v>
      </c>
    </row>
    <row r="213" spans="1:2" x14ac:dyDescent="0.25">
      <c r="A213" s="63">
        <v>7898672302095</v>
      </c>
      <c r="B213" t="s">
        <v>385</v>
      </c>
    </row>
    <row r="214" spans="1:2" x14ac:dyDescent="0.25">
      <c r="A214" s="63">
        <v>7898672302101</v>
      </c>
      <c r="B214" t="s">
        <v>386</v>
      </c>
    </row>
    <row r="215" spans="1:2" x14ac:dyDescent="0.25">
      <c r="A215" s="63">
        <v>7898672302118</v>
      </c>
      <c r="B215" t="s">
        <v>387</v>
      </c>
    </row>
    <row r="216" spans="1:2" x14ac:dyDescent="0.25">
      <c r="A216" s="63">
        <v>7898672302125</v>
      </c>
      <c r="B216" t="s">
        <v>388</v>
      </c>
    </row>
    <row r="217" spans="1:2" x14ac:dyDescent="0.25">
      <c r="A217" s="63">
        <v>7898672302132</v>
      </c>
      <c r="B217" t="s">
        <v>389</v>
      </c>
    </row>
    <row r="218" spans="1:2" x14ac:dyDescent="0.25">
      <c r="A218" s="63">
        <v>7898672302149</v>
      </c>
      <c r="B218" t="s">
        <v>390</v>
      </c>
    </row>
    <row r="219" spans="1:2" x14ac:dyDescent="0.25">
      <c r="A219" s="63">
        <v>7898672302156</v>
      </c>
      <c r="B219" t="s">
        <v>392</v>
      </c>
    </row>
    <row r="220" spans="1:2" x14ac:dyDescent="0.25">
      <c r="A220" s="63">
        <v>7898672302163</v>
      </c>
      <c r="B220" t="s">
        <v>394</v>
      </c>
    </row>
    <row r="221" spans="1:2" x14ac:dyDescent="0.25">
      <c r="A221" s="63">
        <v>7898672302170</v>
      </c>
      <c r="B221" t="s">
        <v>396</v>
      </c>
    </row>
    <row r="222" spans="1:2" x14ac:dyDescent="0.25">
      <c r="A222" s="63">
        <v>7898672302187</v>
      </c>
      <c r="B222" t="s">
        <v>397</v>
      </c>
    </row>
    <row r="223" spans="1:2" x14ac:dyDescent="0.25">
      <c r="A223" s="63">
        <v>7898672302194</v>
      </c>
      <c r="B223" t="s">
        <v>398</v>
      </c>
    </row>
    <row r="224" spans="1:2" x14ac:dyDescent="0.25">
      <c r="A224" s="63">
        <v>7898672302200</v>
      </c>
      <c r="B224" t="s">
        <v>399</v>
      </c>
    </row>
    <row r="225" spans="1:2" x14ac:dyDescent="0.25">
      <c r="A225" s="63">
        <v>7898672302217</v>
      </c>
      <c r="B225" t="s">
        <v>400</v>
      </c>
    </row>
    <row r="226" spans="1:2" x14ac:dyDescent="0.25">
      <c r="A226" s="63">
        <v>7898672302224</v>
      </c>
      <c r="B226" t="s">
        <v>401</v>
      </c>
    </row>
    <row r="227" spans="1:2" x14ac:dyDescent="0.25">
      <c r="A227" s="63">
        <v>7898672302231</v>
      </c>
      <c r="B227" t="s">
        <v>402</v>
      </c>
    </row>
    <row r="228" spans="1:2" x14ac:dyDescent="0.25">
      <c r="A228" s="63">
        <v>7898672302248</v>
      </c>
      <c r="B228" t="s">
        <v>1064</v>
      </c>
    </row>
    <row r="229" spans="1:2" x14ac:dyDescent="0.25">
      <c r="A229" s="63">
        <v>7898672302255</v>
      </c>
      <c r="B229" t="s">
        <v>1065</v>
      </c>
    </row>
    <row r="230" spans="1:2" x14ac:dyDescent="0.25">
      <c r="A230" s="63">
        <v>7898672302262</v>
      </c>
      <c r="B230" t="s">
        <v>1066</v>
      </c>
    </row>
    <row r="231" spans="1:2" x14ac:dyDescent="0.25">
      <c r="A231" s="63">
        <v>7898672302279</v>
      </c>
      <c r="B231" t="s">
        <v>404</v>
      </c>
    </row>
    <row r="232" spans="1:2" x14ac:dyDescent="0.25">
      <c r="A232" s="63">
        <v>7898672302286</v>
      </c>
      <c r="B232" t="s">
        <v>406</v>
      </c>
    </row>
    <row r="233" spans="1:2" x14ac:dyDescent="0.25">
      <c r="A233" s="63">
        <v>7898672302293</v>
      </c>
      <c r="B233" t="s">
        <v>408</v>
      </c>
    </row>
    <row r="234" spans="1:2" x14ac:dyDescent="0.25">
      <c r="A234" s="63">
        <v>7898672302309</v>
      </c>
      <c r="B234" t="s">
        <v>409</v>
      </c>
    </row>
    <row r="235" spans="1:2" x14ac:dyDescent="0.25">
      <c r="A235" s="63">
        <v>7898672302316</v>
      </c>
      <c r="B235" t="s">
        <v>410</v>
      </c>
    </row>
    <row r="236" spans="1:2" x14ac:dyDescent="0.25">
      <c r="A236" s="63">
        <v>7898672302323</v>
      </c>
      <c r="B236" t="s">
        <v>411</v>
      </c>
    </row>
    <row r="237" spans="1:2" x14ac:dyDescent="0.25">
      <c r="A237" s="63">
        <v>7898672302330</v>
      </c>
      <c r="B237" t="s">
        <v>1067</v>
      </c>
    </row>
    <row r="238" spans="1:2" x14ac:dyDescent="0.25">
      <c r="A238" s="63">
        <v>7898672302347</v>
      </c>
      <c r="B238" t="s">
        <v>1068</v>
      </c>
    </row>
    <row r="239" spans="1:2" x14ac:dyDescent="0.25">
      <c r="A239" s="63">
        <v>7898672302354</v>
      </c>
      <c r="B239" t="s">
        <v>1069</v>
      </c>
    </row>
    <row r="240" spans="1:2" x14ac:dyDescent="0.25">
      <c r="A240" s="63">
        <v>7898672302361</v>
      </c>
      <c r="B240" t="s">
        <v>412</v>
      </c>
    </row>
    <row r="241" spans="1:2" x14ac:dyDescent="0.25">
      <c r="A241" s="63">
        <v>7898672302378</v>
      </c>
      <c r="B241" t="s">
        <v>413</v>
      </c>
    </row>
    <row r="242" spans="1:2" x14ac:dyDescent="0.25">
      <c r="A242" s="63">
        <v>7898672302385</v>
      </c>
      <c r="B242" t="s">
        <v>414</v>
      </c>
    </row>
    <row r="243" spans="1:2" x14ac:dyDescent="0.25">
      <c r="A243" s="63">
        <v>7898672302392</v>
      </c>
      <c r="B243" t="s">
        <v>416</v>
      </c>
    </row>
    <row r="244" spans="1:2" x14ac:dyDescent="0.25">
      <c r="A244" s="63">
        <v>7898672302408</v>
      </c>
      <c r="B244" t="s">
        <v>418</v>
      </c>
    </row>
    <row r="245" spans="1:2" x14ac:dyDescent="0.25">
      <c r="A245" s="63">
        <v>7898672302415</v>
      </c>
      <c r="B245" t="s">
        <v>420</v>
      </c>
    </row>
    <row r="246" spans="1:2" x14ac:dyDescent="0.25">
      <c r="A246" s="63">
        <v>7898672302422</v>
      </c>
      <c r="B246" t="s">
        <v>421</v>
      </c>
    </row>
    <row r="247" spans="1:2" x14ac:dyDescent="0.25">
      <c r="A247" s="63">
        <v>7898672302439</v>
      </c>
      <c r="B247" t="s">
        <v>422</v>
      </c>
    </row>
    <row r="248" spans="1:2" x14ac:dyDescent="0.25">
      <c r="A248" s="63">
        <v>7898672302446</v>
      </c>
      <c r="B248" t="s">
        <v>423</v>
      </c>
    </row>
    <row r="249" spans="1:2" x14ac:dyDescent="0.25">
      <c r="A249" s="63">
        <v>7898672302453</v>
      </c>
      <c r="B249" t="s">
        <v>424</v>
      </c>
    </row>
    <row r="250" spans="1:2" x14ac:dyDescent="0.25">
      <c r="A250" s="63">
        <v>7898672302460</v>
      </c>
      <c r="B250" t="s">
        <v>425</v>
      </c>
    </row>
    <row r="251" spans="1:2" x14ac:dyDescent="0.25">
      <c r="A251" s="63">
        <v>7898672302477</v>
      </c>
      <c r="B251" t="s">
        <v>426</v>
      </c>
    </row>
    <row r="252" spans="1:2" x14ac:dyDescent="0.25">
      <c r="A252" s="63">
        <v>7898672302484</v>
      </c>
      <c r="B252" t="s">
        <v>427</v>
      </c>
    </row>
    <row r="253" spans="1:2" x14ac:dyDescent="0.25">
      <c r="A253" s="63">
        <v>7898672302491</v>
      </c>
      <c r="B253" t="s">
        <v>428</v>
      </c>
    </row>
    <row r="254" spans="1:2" x14ac:dyDescent="0.25">
      <c r="A254" s="63">
        <v>7898672302507</v>
      </c>
      <c r="B254" t="s">
        <v>429</v>
      </c>
    </row>
    <row r="255" spans="1:2" x14ac:dyDescent="0.25">
      <c r="A255" s="63">
        <v>7898672302514</v>
      </c>
      <c r="B255" t="s">
        <v>430</v>
      </c>
    </row>
    <row r="256" spans="1:2" x14ac:dyDescent="0.25">
      <c r="A256" s="63">
        <v>7898672302521</v>
      </c>
      <c r="B256" t="s">
        <v>431</v>
      </c>
    </row>
    <row r="257" spans="1:2" x14ac:dyDescent="0.25">
      <c r="A257" s="63">
        <v>7898672302538</v>
      </c>
      <c r="B257" t="s">
        <v>432</v>
      </c>
    </row>
    <row r="258" spans="1:2" x14ac:dyDescent="0.25">
      <c r="A258" s="63">
        <v>7898672302545</v>
      </c>
      <c r="B258" t="s">
        <v>433</v>
      </c>
    </row>
    <row r="259" spans="1:2" x14ac:dyDescent="0.25">
      <c r="A259" s="63">
        <v>7898672302552</v>
      </c>
      <c r="B259" t="s">
        <v>434</v>
      </c>
    </row>
    <row r="260" spans="1:2" x14ac:dyDescent="0.25">
      <c r="A260" s="63">
        <v>7898672302569</v>
      </c>
      <c r="B260" t="s">
        <v>435</v>
      </c>
    </row>
    <row r="261" spans="1:2" x14ac:dyDescent="0.25">
      <c r="A261" s="63">
        <v>7898672302576</v>
      </c>
      <c r="B261" t="s">
        <v>437</v>
      </c>
    </row>
    <row r="262" spans="1:2" x14ac:dyDescent="0.25">
      <c r="A262" s="63">
        <v>7898672302583</v>
      </c>
      <c r="B262" t="s">
        <v>439</v>
      </c>
    </row>
    <row r="263" spans="1:2" x14ac:dyDescent="0.25">
      <c r="A263" s="63">
        <v>7898672302590</v>
      </c>
      <c r="B263" t="s">
        <v>441</v>
      </c>
    </row>
    <row r="264" spans="1:2" x14ac:dyDescent="0.25">
      <c r="A264" s="63">
        <v>7898672302606</v>
      </c>
      <c r="B264" t="s">
        <v>443</v>
      </c>
    </row>
    <row r="265" spans="1:2" x14ac:dyDescent="0.25">
      <c r="A265" s="63">
        <v>7898672302613</v>
      </c>
      <c r="B265" t="s">
        <v>445</v>
      </c>
    </row>
    <row r="266" spans="1:2" x14ac:dyDescent="0.25">
      <c r="A266" s="63">
        <v>7898672302620</v>
      </c>
      <c r="B266" t="s">
        <v>447</v>
      </c>
    </row>
    <row r="267" spans="1:2" x14ac:dyDescent="0.25">
      <c r="A267" s="63">
        <v>7898672302637</v>
      </c>
      <c r="B267" t="s">
        <v>449</v>
      </c>
    </row>
    <row r="268" spans="1:2" x14ac:dyDescent="0.25">
      <c r="A268" s="63">
        <v>7898672302644</v>
      </c>
      <c r="B268" t="s">
        <v>451</v>
      </c>
    </row>
    <row r="269" spans="1:2" x14ac:dyDescent="0.25">
      <c r="A269" s="63">
        <v>7898672302651</v>
      </c>
      <c r="B269" t="s">
        <v>453</v>
      </c>
    </row>
    <row r="270" spans="1:2" x14ac:dyDescent="0.25">
      <c r="A270" s="63">
        <v>7898672302668</v>
      </c>
      <c r="B270" t="s">
        <v>454</v>
      </c>
    </row>
    <row r="271" spans="1:2" x14ac:dyDescent="0.25">
      <c r="A271" s="63">
        <v>7898672302675</v>
      </c>
      <c r="B271" t="s">
        <v>455</v>
      </c>
    </row>
    <row r="272" spans="1:2" x14ac:dyDescent="0.25">
      <c r="A272" s="63">
        <v>7898672302682</v>
      </c>
      <c r="B272" t="s">
        <v>456</v>
      </c>
    </row>
    <row r="273" spans="1:2" x14ac:dyDescent="0.25">
      <c r="A273" s="63">
        <v>7898672302699</v>
      </c>
      <c r="B273" t="s">
        <v>457</v>
      </c>
    </row>
    <row r="274" spans="1:2" x14ac:dyDescent="0.25">
      <c r="A274" s="63">
        <v>7898672302705</v>
      </c>
      <c r="B274" t="s">
        <v>458</v>
      </c>
    </row>
    <row r="275" spans="1:2" x14ac:dyDescent="0.25">
      <c r="A275" s="63">
        <v>7898672302712</v>
      </c>
      <c r="B275" t="s">
        <v>459</v>
      </c>
    </row>
    <row r="276" spans="1:2" x14ac:dyDescent="0.25">
      <c r="A276" s="63">
        <v>7898672302729</v>
      </c>
      <c r="B276" t="s">
        <v>460</v>
      </c>
    </row>
    <row r="277" spans="1:2" x14ac:dyDescent="0.25">
      <c r="A277" s="63">
        <v>7898672302736</v>
      </c>
      <c r="B277" t="s">
        <v>461</v>
      </c>
    </row>
    <row r="278" spans="1:2" x14ac:dyDescent="0.25">
      <c r="A278" s="63">
        <v>7898672302743</v>
      </c>
      <c r="B278" t="s">
        <v>462</v>
      </c>
    </row>
    <row r="279" spans="1:2" x14ac:dyDescent="0.25">
      <c r="A279" s="63">
        <v>7898672302750</v>
      </c>
      <c r="B279" t="s">
        <v>464</v>
      </c>
    </row>
    <row r="280" spans="1:2" x14ac:dyDescent="0.25">
      <c r="A280" s="63">
        <v>7898672302767</v>
      </c>
      <c r="B280" t="s">
        <v>466</v>
      </c>
    </row>
    <row r="281" spans="1:2" x14ac:dyDescent="0.25">
      <c r="A281" s="63">
        <v>7898672302774</v>
      </c>
      <c r="B281" t="s">
        <v>468</v>
      </c>
    </row>
    <row r="282" spans="1:2" x14ac:dyDescent="0.25">
      <c r="A282" s="63">
        <v>7898672302781</v>
      </c>
      <c r="B282" t="s">
        <v>469</v>
      </c>
    </row>
    <row r="283" spans="1:2" x14ac:dyDescent="0.25">
      <c r="A283" s="63">
        <v>7898672302798</v>
      </c>
      <c r="B283" t="s">
        <v>470</v>
      </c>
    </row>
    <row r="284" spans="1:2" x14ac:dyDescent="0.25">
      <c r="A284" s="63">
        <v>7898672302804</v>
      </c>
      <c r="B284" t="s">
        <v>471</v>
      </c>
    </row>
    <row r="285" spans="1:2" x14ac:dyDescent="0.25">
      <c r="A285" s="63">
        <v>7898672302811</v>
      </c>
      <c r="B285" t="s">
        <v>1070</v>
      </c>
    </row>
    <row r="286" spans="1:2" x14ac:dyDescent="0.25">
      <c r="A286" s="63">
        <v>7898672302828</v>
      </c>
      <c r="B286" t="s">
        <v>1071</v>
      </c>
    </row>
    <row r="287" spans="1:2" x14ac:dyDescent="0.25">
      <c r="A287" s="63">
        <v>7898672302835</v>
      </c>
      <c r="B287" t="s">
        <v>1072</v>
      </c>
    </row>
    <row r="288" spans="1:2" x14ac:dyDescent="0.25">
      <c r="A288" s="63">
        <v>7898672302842</v>
      </c>
      <c r="B288" t="s">
        <v>1073</v>
      </c>
    </row>
    <row r="289" spans="1:2" x14ac:dyDescent="0.25">
      <c r="A289" s="63">
        <v>7898672302859</v>
      </c>
      <c r="B289" t="s">
        <v>1074</v>
      </c>
    </row>
    <row r="290" spans="1:2" x14ac:dyDescent="0.25">
      <c r="A290" s="63">
        <v>7898672302866</v>
      </c>
      <c r="B290" t="s">
        <v>1075</v>
      </c>
    </row>
    <row r="291" spans="1:2" x14ac:dyDescent="0.25">
      <c r="A291" s="63">
        <v>7898672302873</v>
      </c>
      <c r="B291" t="s">
        <v>473</v>
      </c>
    </row>
    <row r="292" spans="1:2" x14ac:dyDescent="0.25">
      <c r="A292" s="63">
        <v>7898672302880</v>
      </c>
      <c r="B292" t="s">
        <v>475</v>
      </c>
    </row>
    <row r="293" spans="1:2" x14ac:dyDescent="0.25">
      <c r="A293" s="63">
        <v>7898672302897</v>
      </c>
      <c r="B293" t="s">
        <v>477</v>
      </c>
    </row>
    <row r="294" spans="1:2" x14ac:dyDescent="0.25">
      <c r="A294" s="63">
        <v>7898672302903</v>
      </c>
      <c r="B294" t="s">
        <v>479</v>
      </c>
    </row>
    <row r="295" spans="1:2" x14ac:dyDescent="0.25">
      <c r="A295" s="63">
        <v>7898672302910</v>
      </c>
      <c r="B295" t="s">
        <v>481</v>
      </c>
    </row>
    <row r="296" spans="1:2" x14ac:dyDescent="0.25">
      <c r="A296" s="63">
        <v>7898672302927</v>
      </c>
      <c r="B296" t="s">
        <v>483</v>
      </c>
    </row>
    <row r="297" spans="1:2" x14ac:dyDescent="0.25">
      <c r="A297" s="63">
        <v>7898672302934</v>
      </c>
      <c r="B297" t="s">
        <v>485</v>
      </c>
    </row>
    <row r="298" spans="1:2" x14ac:dyDescent="0.25">
      <c r="A298" s="63">
        <v>7898672302941</v>
      </c>
      <c r="B298" t="s">
        <v>487</v>
      </c>
    </row>
    <row r="299" spans="1:2" x14ac:dyDescent="0.25">
      <c r="A299" s="63">
        <v>7898672302958</v>
      </c>
      <c r="B299" t="s">
        <v>489</v>
      </c>
    </row>
    <row r="300" spans="1:2" x14ac:dyDescent="0.25">
      <c r="A300" s="63">
        <v>7898672302965</v>
      </c>
      <c r="B300" t="s">
        <v>491</v>
      </c>
    </row>
    <row r="301" spans="1:2" x14ac:dyDescent="0.25">
      <c r="A301" s="63">
        <v>7898672302972</v>
      </c>
      <c r="B301" t="s">
        <v>493</v>
      </c>
    </row>
    <row r="302" spans="1:2" x14ac:dyDescent="0.25">
      <c r="A302" s="63">
        <v>7898672302989</v>
      </c>
      <c r="B302" t="s">
        <v>495</v>
      </c>
    </row>
    <row r="303" spans="1:2" x14ac:dyDescent="0.25">
      <c r="A303" s="63">
        <v>7898672302996</v>
      </c>
      <c r="B303" t="s">
        <v>496</v>
      </c>
    </row>
    <row r="304" spans="1:2" x14ac:dyDescent="0.25">
      <c r="A304" s="63">
        <v>7898672303009</v>
      </c>
      <c r="B304" t="s">
        <v>497</v>
      </c>
    </row>
    <row r="305" spans="1:2" x14ac:dyDescent="0.25">
      <c r="A305" s="63">
        <v>7898672303016</v>
      </c>
      <c r="B305" t="s">
        <v>498</v>
      </c>
    </row>
    <row r="306" spans="1:2" x14ac:dyDescent="0.25">
      <c r="A306" s="63">
        <v>7898672303023</v>
      </c>
      <c r="B306" t="s">
        <v>499</v>
      </c>
    </row>
    <row r="307" spans="1:2" x14ac:dyDescent="0.25">
      <c r="A307" s="63">
        <v>7898672303030</v>
      </c>
      <c r="B307" t="s">
        <v>500</v>
      </c>
    </row>
    <row r="308" spans="1:2" x14ac:dyDescent="0.25">
      <c r="A308" s="63">
        <v>7898672303047</v>
      </c>
      <c r="B308" t="s">
        <v>501</v>
      </c>
    </row>
    <row r="309" spans="1:2" x14ac:dyDescent="0.25">
      <c r="A309" s="63">
        <v>7898672303054</v>
      </c>
      <c r="B309" t="s">
        <v>502</v>
      </c>
    </row>
    <row r="310" spans="1:2" x14ac:dyDescent="0.25">
      <c r="A310" s="63">
        <v>7898672303061</v>
      </c>
      <c r="B310" t="s">
        <v>503</v>
      </c>
    </row>
    <row r="311" spans="1:2" x14ac:dyDescent="0.25">
      <c r="A311" s="63">
        <v>7898672303078</v>
      </c>
      <c r="B311" t="s">
        <v>504</v>
      </c>
    </row>
    <row r="312" spans="1:2" x14ac:dyDescent="0.25">
      <c r="A312" s="63">
        <v>7898672303085</v>
      </c>
      <c r="B312" t="s">
        <v>505</v>
      </c>
    </row>
    <row r="313" spans="1:2" x14ac:dyDescent="0.25">
      <c r="A313" s="63">
        <v>7898672303092</v>
      </c>
      <c r="B313" t="s">
        <v>506</v>
      </c>
    </row>
    <row r="314" spans="1:2" x14ac:dyDescent="0.25">
      <c r="A314" s="63">
        <v>7898672303108</v>
      </c>
      <c r="B314" t="s">
        <v>507</v>
      </c>
    </row>
    <row r="315" spans="1:2" x14ac:dyDescent="0.25">
      <c r="A315" s="63">
        <v>7898672303115</v>
      </c>
      <c r="B315" t="s">
        <v>509</v>
      </c>
    </row>
    <row r="316" spans="1:2" x14ac:dyDescent="0.25">
      <c r="A316" s="63">
        <v>7898672303122</v>
      </c>
      <c r="B316" t="s">
        <v>511</v>
      </c>
    </row>
    <row r="317" spans="1:2" x14ac:dyDescent="0.25">
      <c r="A317" s="63">
        <v>7898672303139</v>
      </c>
      <c r="B317" t="s">
        <v>513</v>
      </c>
    </row>
    <row r="318" spans="1:2" x14ac:dyDescent="0.25">
      <c r="B318" s="16" t="s">
        <v>17</v>
      </c>
    </row>
    <row r="319" spans="1:2" x14ac:dyDescent="0.25">
      <c r="B319" s="16" t="s">
        <v>514</v>
      </c>
    </row>
    <row r="320" spans="1:2" x14ac:dyDescent="0.25">
      <c r="B320" s="16" t="s">
        <v>515</v>
      </c>
    </row>
    <row r="321" spans="1:2" x14ac:dyDescent="0.25">
      <c r="A321" s="63">
        <v>7898672303146</v>
      </c>
      <c r="B321" t="s">
        <v>516</v>
      </c>
    </row>
    <row r="322" spans="1:2" x14ac:dyDescent="0.25">
      <c r="A322" s="63">
        <v>7898672303153</v>
      </c>
      <c r="B322" t="s">
        <v>517</v>
      </c>
    </row>
    <row r="323" spans="1:2" x14ac:dyDescent="0.25">
      <c r="A323" s="63">
        <v>7898672303160</v>
      </c>
      <c r="B323" t="s">
        <v>518</v>
      </c>
    </row>
    <row r="324" spans="1:2" x14ac:dyDescent="0.25">
      <c r="A324" s="63">
        <v>7898672303177</v>
      </c>
      <c r="B324" t="s">
        <v>519</v>
      </c>
    </row>
    <row r="325" spans="1:2" x14ac:dyDescent="0.25">
      <c r="A325" s="63">
        <v>7898672303184</v>
      </c>
      <c r="B325" t="s">
        <v>520</v>
      </c>
    </row>
    <row r="326" spans="1:2" x14ac:dyDescent="0.25">
      <c r="A326" s="63">
        <v>7898672303191</v>
      </c>
      <c r="B326" t="s">
        <v>521</v>
      </c>
    </row>
    <row r="327" spans="1:2" x14ac:dyDescent="0.25">
      <c r="A327" s="63">
        <v>7898672303207</v>
      </c>
      <c r="B327" t="s">
        <v>522</v>
      </c>
    </row>
    <row r="328" spans="1:2" x14ac:dyDescent="0.25">
      <c r="A328" s="63">
        <v>7898672303214</v>
      </c>
      <c r="B328" t="s">
        <v>523</v>
      </c>
    </row>
    <row r="329" spans="1:2" x14ac:dyDescent="0.25">
      <c r="A329" s="63">
        <v>7898672303221</v>
      </c>
      <c r="B329" t="s">
        <v>524</v>
      </c>
    </row>
    <row r="330" spans="1:2" x14ac:dyDescent="0.25">
      <c r="A330" s="63">
        <v>7898672303238</v>
      </c>
      <c r="B330" t="s">
        <v>526</v>
      </c>
    </row>
    <row r="331" spans="1:2" x14ac:dyDescent="0.25">
      <c r="A331" s="63">
        <v>7898672303245</v>
      </c>
      <c r="B331" t="s">
        <v>528</v>
      </c>
    </row>
    <row r="332" spans="1:2" x14ac:dyDescent="0.25">
      <c r="A332" s="63">
        <v>7898672303252</v>
      </c>
      <c r="B332" t="s">
        <v>530</v>
      </c>
    </row>
    <row r="333" spans="1:2" x14ac:dyDescent="0.25">
      <c r="A333" s="63">
        <v>7898672303269</v>
      </c>
      <c r="B333" t="s">
        <v>531</v>
      </c>
    </row>
    <row r="334" spans="1:2" x14ac:dyDescent="0.25">
      <c r="A334" s="63">
        <v>7898672303276</v>
      </c>
      <c r="B334" t="s">
        <v>532</v>
      </c>
    </row>
    <row r="335" spans="1:2" x14ac:dyDescent="0.25">
      <c r="A335" s="63">
        <v>7898672303283</v>
      </c>
      <c r="B335" t="s">
        <v>533</v>
      </c>
    </row>
    <row r="336" spans="1:2" x14ac:dyDescent="0.25">
      <c r="A336" s="63">
        <v>7898672303290</v>
      </c>
      <c r="B336" t="s">
        <v>1076</v>
      </c>
    </row>
    <row r="337" spans="1:2" x14ac:dyDescent="0.25">
      <c r="A337" s="63">
        <v>7898672303306</v>
      </c>
      <c r="B337" t="s">
        <v>1077</v>
      </c>
    </row>
    <row r="338" spans="1:2" x14ac:dyDescent="0.25">
      <c r="A338" s="63">
        <v>7898672303313</v>
      </c>
      <c r="B338" t="s">
        <v>1078</v>
      </c>
    </row>
    <row r="339" spans="1:2" x14ac:dyDescent="0.25">
      <c r="A339" s="75">
        <v>7898672303740</v>
      </c>
      <c r="B339" s="16" t="s">
        <v>535</v>
      </c>
    </row>
    <row r="340" spans="1:2" x14ac:dyDescent="0.25">
      <c r="A340" s="75">
        <v>7898672303757</v>
      </c>
      <c r="B340" s="16" t="s">
        <v>537</v>
      </c>
    </row>
    <row r="341" spans="1:2" x14ac:dyDescent="0.25">
      <c r="A341" s="75">
        <v>7898672303764</v>
      </c>
      <c r="B341" s="16" t="s">
        <v>539</v>
      </c>
    </row>
    <row r="342" spans="1:2" x14ac:dyDescent="0.25">
      <c r="A342" s="63">
        <v>7898672303320</v>
      </c>
      <c r="B342" t="s">
        <v>540</v>
      </c>
    </row>
    <row r="343" spans="1:2" x14ac:dyDescent="0.25">
      <c r="A343" s="63">
        <v>7898672303337</v>
      </c>
      <c r="B343" t="s">
        <v>541</v>
      </c>
    </row>
    <row r="344" spans="1:2" x14ac:dyDescent="0.25">
      <c r="A344" s="63">
        <v>7898672303344</v>
      </c>
      <c r="B344" t="s">
        <v>542</v>
      </c>
    </row>
    <row r="345" spans="1:2" x14ac:dyDescent="0.25">
      <c r="A345" s="63">
        <v>7898672303351</v>
      </c>
      <c r="B345" t="s">
        <v>543</v>
      </c>
    </row>
    <row r="346" spans="1:2" x14ac:dyDescent="0.25">
      <c r="A346" s="63">
        <v>7898672303368</v>
      </c>
      <c r="B346" t="s">
        <v>544</v>
      </c>
    </row>
    <row r="347" spans="1:2" x14ac:dyDescent="0.25">
      <c r="A347" s="63">
        <v>7898672303375</v>
      </c>
      <c r="B347" t="s">
        <v>545</v>
      </c>
    </row>
    <row r="348" spans="1:2" x14ac:dyDescent="0.25">
      <c r="A348" s="63">
        <v>7898672303382</v>
      </c>
      <c r="B348" t="s">
        <v>547</v>
      </c>
    </row>
    <row r="349" spans="1:2" x14ac:dyDescent="0.25">
      <c r="A349" s="63">
        <v>7898672303399</v>
      </c>
      <c r="B349" t="s">
        <v>549</v>
      </c>
    </row>
    <row r="350" spans="1:2" x14ac:dyDescent="0.25">
      <c r="A350" s="63">
        <v>7898672303405</v>
      </c>
      <c r="B350" t="s">
        <v>551</v>
      </c>
    </row>
    <row r="351" spans="1:2" x14ac:dyDescent="0.25">
      <c r="A351" s="63">
        <v>7898672303412</v>
      </c>
      <c r="B351" t="s">
        <v>558</v>
      </c>
    </row>
    <row r="352" spans="1:2" x14ac:dyDescent="0.25">
      <c r="A352" s="63">
        <v>7898672303429</v>
      </c>
      <c r="B352" t="s">
        <v>559</v>
      </c>
    </row>
    <row r="353" spans="1:2" x14ac:dyDescent="0.25">
      <c r="A353" s="63">
        <v>7898672303436</v>
      </c>
      <c r="B353" t="s">
        <v>560</v>
      </c>
    </row>
    <row r="354" spans="1:2" x14ac:dyDescent="0.25">
      <c r="A354" s="63">
        <v>7898672303443</v>
      </c>
      <c r="B354" t="s">
        <v>561</v>
      </c>
    </row>
    <row r="355" spans="1:2" x14ac:dyDescent="0.25">
      <c r="A355" s="63">
        <v>7898672303450</v>
      </c>
      <c r="B355" t="s">
        <v>562</v>
      </c>
    </row>
    <row r="356" spans="1:2" x14ac:dyDescent="0.25">
      <c r="A356" s="63">
        <v>7898672303467</v>
      </c>
      <c r="B356" t="s">
        <v>563</v>
      </c>
    </row>
    <row r="357" spans="1:2" x14ac:dyDescent="0.25">
      <c r="A357" s="63">
        <v>7898672303474</v>
      </c>
      <c r="B357" t="s">
        <v>565</v>
      </c>
    </row>
    <row r="358" spans="1:2" x14ac:dyDescent="0.25">
      <c r="A358" s="63">
        <v>7898672303481</v>
      </c>
      <c r="B358" t="s">
        <v>567</v>
      </c>
    </row>
    <row r="359" spans="1:2" x14ac:dyDescent="0.25">
      <c r="A359" s="63">
        <v>7898672303498</v>
      </c>
      <c r="B359" t="s">
        <v>569</v>
      </c>
    </row>
    <row r="360" spans="1:2" x14ac:dyDescent="0.25">
      <c r="A360" s="63">
        <v>7898672303504</v>
      </c>
      <c r="B360" t="s">
        <v>571</v>
      </c>
    </row>
    <row r="361" spans="1:2" x14ac:dyDescent="0.25">
      <c r="A361" s="63">
        <v>7898672303511</v>
      </c>
      <c r="B361" t="s">
        <v>573</v>
      </c>
    </row>
    <row r="362" spans="1:2" x14ac:dyDescent="0.25">
      <c r="A362" s="63">
        <v>7898672303528</v>
      </c>
      <c r="B362" t="s">
        <v>575</v>
      </c>
    </row>
    <row r="363" spans="1:2" x14ac:dyDescent="0.25">
      <c r="A363" s="63">
        <v>7898672303535</v>
      </c>
      <c r="B363" t="s">
        <v>576</v>
      </c>
    </row>
    <row r="364" spans="1:2" x14ac:dyDescent="0.25">
      <c r="A364" s="63">
        <v>7898672303542</v>
      </c>
      <c r="B364" t="s">
        <v>577</v>
      </c>
    </row>
    <row r="365" spans="1:2" x14ac:dyDescent="0.25">
      <c r="A365" s="63">
        <v>7898672303559</v>
      </c>
      <c r="B365" t="s">
        <v>578</v>
      </c>
    </row>
    <row r="366" spans="1:2" x14ac:dyDescent="0.25">
      <c r="A366" s="63">
        <v>7898672303566</v>
      </c>
      <c r="B366" t="s">
        <v>579</v>
      </c>
    </row>
    <row r="367" spans="1:2" x14ac:dyDescent="0.25">
      <c r="A367" s="63">
        <v>7898672303573</v>
      </c>
      <c r="B367" t="s">
        <v>580</v>
      </c>
    </row>
    <row r="368" spans="1:2" x14ac:dyDescent="0.25">
      <c r="A368" s="63">
        <v>7898672303580</v>
      </c>
      <c r="B368" t="s">
        <v>581</v>
      </c>
    </row>
    <row r="369" spans="1:2" x14ac:dyDescent="0.25">
      <c r="A369" s="74" t="s">
        <v>1089</v>
      </c>
      <c r="B369" s="16" t="s">
        <v>582</v>
      </c>
    </row>
    <row r="370" spans="1:2" x14ac:dyDescent="0.25">
      <c r="A370" s="74">
        <v>7898672303870</v>
      </c>
      <c r="B370" s="16" t="s">
        <v>583</v>
      </c>
    </row>
    <row r="371" spans="1:2" x14ac:dyDescent="0.25">
      <c r="A371" s="74">
        <v>7898672304150</v>
      </c>
      <c r="B371" s="16" t="s">
        <v>587</v>
      </c>
    </row>
    <row r="372" spans="1:2" x14ac:dyDescent="0.25">
      <c r="A372" s="74">
        <v>7898672304167</v>
      </c>
      <c r="B372" s="16" t="s">
        <v>588</v>
      </c>
    </row>
    <row r="373" spans="1:2" x14ac:dyDescent="0.25">
      <c r="A373" s="74">
        <v>7898672304143</v>
      </c>
      <c r="B373" s="16" t="s">
        <v>589</v>
      </c>
    </row>
    <row r="374" spans="1:2" x14ac:dyDescent="0.25">
      <c r="A374" s="74">
        <v>7898672303290</v>
      </c>
      <c r="B374" s="16" t="s">
        <v>596</v>
      </c>
    </row>
    <row r="375" spans="1:2" x14ac:dyDescent="0.25">
      <c r="A375" s="74">
        <v>7898672303306</v>
      </c>
      <c r="B375" s="16" t="s">
        <v>597</v>
      </c>
    </row>
    <row r="376" spans="1:2" x14ac:dyDescent="0.25">
      <c r="A376" s="74">
        <v>7898672303313</v>
      </c>
      <c r="B376" s="16" t="s">
        <v>598</v>
      </c>
    </row>
    <row r="377" spans="1:2" x14ac:dyDescent="0.25">
      <c r="A377" s="74">
        <v>7898672304198</v>
      </c>
      <c r="B377" s="16" t="s">
        <v>599</v>
      </c>
    </row>
    <row r="378" spans="1:2" x14ac:dyDescent="0.25">
      <c r="A378" s="74">
        <v>7898672304204</v>
      </c>
      <c r="B378" s="16" t="s">
        <v>600</v>
      </c>
    </row>
    <row r="379" spans="1:2" x14ac:dyDescent="0.25">
      <c r="A379" s="63">
        <v>7898672304181</v>
      </c>
      <c r="B379" t="s">
        <v>601</v>
      </c>
    </row>
    <row r="380" spans="1:2" x14ac:dyDescent="0.25">
      <c r="A380" s="63" t="s">
        <v>1090</v>
      </c>
      <c r="B380" t="s">
        <v>671</v>
      </c>
    </row>
    <row r="381" spans="1:2" x14ac:dyDescent="0.25">
      <c r="A381" s="63" t="s">
        <v>1091</v>
      </c>
      <c r="B381" t="s">
        <v>665</v>
      </c>
    </row>
    <row r="382" spans="1:2" x14ac:dyDescent="0.25">
      <c r="A382" s="63" t="s">
        <v>1092</v>
      </c>
      <c r="B382" t="s">
        <v>668</v>
      </c>
    </row>
    <row r="383" spans="1:2" x14ac:dyDescent="0.25">
      <c r="A383" s="63" t="s">
        <v>1093</v>
      </c>
      <c r="B383" t="s">
        <v>721</v>
      </c>
    </row>
    <row r="384" spans="1:2" x14ac:dyDescent="0.25">
      <c r="A384" s="63" t="s">
        <v>1094</v>
      </c>
      <c r="B384" t="s">
        <v>713</v>
      </c>
    </row>
    <row r="385" spans="1:2" x14ac:dyDescent="0.25">
      <c r="A385" s="63" t="s">
        <v>1095</v>
      </c>
      <c r="B385" t="s">
        <v>717</v>
      </c>
    </row>
    <row r="386" spans="1:2" x14ac:dyDescent="0.25">
      <c r="A386" s="63" t="s">
        <v>1096</v>
      </c>
      <c r="B386" t="s">
        <v>731</v>
      </c>
    </row>
    <row r="387" spans="1:2" x14ac:dyDescent="0.25">
      <c r="A387" s="63" t="s">
        <v>1097</v>
      </c>
      <c r="B387" t="s">
        <v>725</v>
      </c>
    </row>
    <row r="388" spans="1:2" x14ac:dyDescent="0.25">
      <c r="A388" s="63" t="s">
        <v>1098</v>
      </c>
      <c r="B388" t="s">
        <v>728</v>
      </c>
    </row>
    <row r="389" spans="1:2" x14ac:dyDescent="0.25">
      <c r="A389" s="63" t="s">
        <v>1099</v>
      </c>
      <c r="B389" t="s">
        <v>752</v>
      </c>
    </row>
    <row r="390" spans="1:2" x14ac:dyDescent="0.25">
      <c r="A390" s="63" t="s">
        <v>1100</v>
      </c>
      <c r="B390" t="s">
        <v>746</v>
      </c>
    </row>
    <row r="391" spans="1:2" x14ac:dyDescent="0.25">
      <c r="A391" s="63" t="s">
        <v>1101</v>
      </c>
      <c r="B391" t="s">
        <v>749</v>
      </c>
    </row>
    <row r="392" spans="1:2" x14ac:dyDescent="0.25">
      <c r="A392" s="63" t="s">
        <v>1102</v>
      </c>
      <c r="B392" t="s">
        <v>773</v>
      </c>
    </row>
    <row r="393" spans="1:2" x14ac:dyDescent="0.25">
      <c r="A393" s="63" t="s">
        <v>1103</v>
      </c>
      <c r="B393" t="s">
        <v>767</v>
      </c>
    </row>
    <row r="394" spans="1:2" x14ac:dyDescent="0.25">
      <c r="A394" s="63" t="s">
        <v>1104</v>
      </c>
      <c r="B394" t="s">
        <v>770</v>
      </c>
    </row>
    <row r="395" spans="1:2" x14ac:dyDescent="0.25">
      <c r="A395" s="63" t="s">
        <v>1105</v>
      </c>
      <c r="B395" t="s">
        <v>812</v>
      </c>
    </row>
    <row r="396" spans="1:2" x14ac:dyDescent="0.25">
      <c r="A396" s="63" t="s">
        <v>1106</v>
      </c>
      <c r="B396" t="s">
        <v>806</v>
      </c>
    </row>
    <row r="397" spans="1:2" x14ac:dyDescent="0.25">
      <c r="A397" s="63" t="s">
        <v>1107</v>
      </c>
      <c r="B397" t="s">
        <v>809</v>
      </c>
    </row>
    <row r="398" spans="1:2" x14ac:dyDescent="0.25">
      <c r="A398" s="63" t="s">
        <v>1108</v>
      </c>
      <c r="B398" t="s">
        <v>1012</v>
      </c>
    </row>
    <row r="399" spans="1:2" x14ac:dyDescent="0.25">
      <c r="A399" s="63" t="s">
        <v>1109</v>
      </c>
      <c r="B399" t="s">
        <v>1004</v>
      </c>
    </row>
    <row r="400" spans="1:2" x14ac:dyDescent="0.25">
      <c r="A400" s="63" t="s">
        <v>1110</v>
      </c>
      <c r="B400" t="s">
        <v>1008</v>
      </c>
    </row>
    <row r="401" spans="1:2" x14ac:dyDescent="0.25">
      <c r="A401" s="63" t="s">
        <v>1111</v>
      </c>
      <c r="B401" t="s">
        <v>1141</v>
      </c>
    </row>
    <row r="402" spans="1:2" x14ac:dyDescent="0.25">
      <c r="A402" s="63" t="s">
        <v>1112</v>
      </c>
      <c r="B402" t="s">
        <v>833</v>
      </c>
    </row>
    <row r="403" spans="1:2" x14ac:dyDescent="0.25">
      <c r="A403" s="63" t="s">
        <v>1113</v>
      </c>
      <c r="B403" t="s">
        <v>836</v>
      </c>
    </row>
    <row r="404" spans="1:2" x14ac:dyDescent="0.25">
      <c r="A404" s="63" t="s">
        <v>1114</v>
      </c>
      <c r="B404" t="s">
        <v>848</v>
      </c>
    </row>
    <row r="405" spans="1:2" x14ac:dyDescent="0.25">
      <c r="A405" s="63" t="s">
        <v>1115</v>
      </c>
      <c r="B405" t="s">
        <v>842</v>
      </c>
    </row>
    <row r="406" spans="1:2" x14ac:dyDescent="0.25">
      <c r="A406" s="63" t="s">
        <v>1116</v>
      </c>
      <c r="B406" t="s">
        <v>845</v>
      </c>
    </row>
    <row r="407" spans="1:2" x14ac:dyDescent="0.25">
      <c r="A407" s="63" t="s">
        <v>1117</v>
      </c>
      <c r="B407" t="s">
        <v>857</v>
      </c>
    </row>
    <row r="408" spans="1:2" x14ac:dyDescent="0.25">
      <c r="A408" s="63" t="s">
        <v>1118</v>
      </c>
      <c r="B408" t="s">
        <v>851</v>
      </c>
    </row>
    <row r="409" spans="1:2" x14ac:dyDescent="0.25">
      <c r="A409" s="63" t="s">
        <v>1119</v>
      </c>
      <c r="B409" t="s">
        <v>854</v>
      </c>
    </row>
    <row r="410" spans="1:2" x14ac:dyDescent="0.25">
      <c r="A410" s="63" t="s">
        <v>1120</v>
      </c>
      <c r="B410" t="s">
        <v>1142</v>
      </c>
    </row>
    <row r="411" spans="1:2" x14ac:dyDescent="0.25">
      <c r="A411" s="63" t="s">
        <v>1121</v>
      </c>
      <c r="B411" t="s">
        <v>1143</v>
      </c>
    </row>
    <row r="412" spans="1:2" x14ac:dyDescent="0.25">
      <c r="A412" s="63" t="s">
        <v>1122</v>
      </c>
      <c r="B412" t="s">
        <v>893</v>
      </c>
    </row>
    <row r="413" spans="1:2" x14ac:dyDescent="0.25">
      <c r="A413" s="63" t="s">
        <v>1123</v>
      </c>
      <c r="B413" t="s">
        <v>917</v>
      </c>
    </row>
    <row r="414" spans="1:2" x14ac:dyDescent="0.25">
      <c r="A414" s="63" t="s">
        <v>1124</v>
      </c>
      <c r="B414" t="s">
        <v>911</v>
      </c>
    </row>
    <row r="415" spans="1:2" x14ac:dyDescent="0.25">
      <c r="A415" s="63" t="s">
        <v>1125</v>
      </c>
      <c r="B415" t="s">
        <v>914</v>
      </c>
    </row>
    <row r="416" spans="1:2" x14ac:dyDescent="0.25">
      <c r="A416" s="63" t="s">
        <v>1126</v>
      </c>
      <c r="B416" t="s">
        <v>950</v>
      </c>
    </row>
    <row r="417" spans="1:2" x14ac:dyDescent="0.25">
      <c r="A417" s="63" t="s">
        <v>1127</v>
      </c>
      <c r="B417" t="s">
        <v>944</v>
      </c>
    </row>
    <row r="418" spans="1:2" x14ac:dyDescent="0.25">
      <c r="A418" s="63" t="s">
        <v>1128</v>
      </c>
      <c r="B418" t="s">
        <v>947</v>
      </c>
    </row>
    <row r="419" spans="1:2" x14ac:dyDescent="0.25">
      <c r="A419" s="63" t="s">
        <v>1129</v>
      </c>
      <c r="B419" t="s">
        <v>983</v>
      </c>
    </row>
    <row r="420" spans="1:2" x14ac:dyDescent="0.25">
      <c r="A420" s="63" t="s">
        <v>1130</v>
      </c>
      <c r="B420" t="s">
        <v>977</v>
      </c>
    </row>
    <row r="421" spans="1:2" x14ac:dyDescent="0.25">
      <c r="A421" s="63" t="s">
        <v>1131</v>
      </c>
      <c r="B421" t="s">
        <v>980</v>
      </c>
    </row>
    <row r="422" spans="1:2" x14ac:dyDescent="0.25">
      <c r="A422" s="63" t="s">
        <v>1132</v>
      </c>
      <c r="B422" t="s">
        <v>1022</v>
      </c>
    </row>
    <row r="423" spans="1:2" x14ac:dyDescent="0.25">
      <c r="A423" s="63" t="s">
        <v>1133</v>
      </c>
      <c r="B423" t="s">
        <v>1016</v>
      </c>
    </row>
    <row r="424" spans="1:2" x14ac:dyDescent="0.25">
      <c r="A424" s="63" t="s">
        <v>1134</v>
      </c>
      <c r="B424" t="s">
        <v>1019</v>
      </c>
    </row>
    <row r="425" spans="1:2" x14ac:dyDescent="0.25">
      <c r="A425" s="63" t="s">
        <v>1135</v>
      </c>
      <c r="B425" t="s">
        <v>1043</v>
      </c>
    </row>
    <row r="426" spans="1:2" x14ac:dyDescent="0.25">
      <c r="A426" s="63" t="s">
        <v>1136</v>
      </c>
      <c r="B426" t="s">
        <v>1037</v>
      </c>
    </row>
    <row r="427" spans="1:2" x14ac:dyDescent="0.25">
      <c r="A427" s="63" t="s">
        <v>1137</v>
      </c>
      <c r="B427" t="s">
        <v>1040</v>
      </c>
    </row>
    <row r="428" spans="1:2" x14ac:dyDescent="0.25">
      <c r="A428" s="63" t="s">
        <v>1138</v>
      </c>
      <c r="B428" t="s">
        <v>1054</v>
      </c>
    </row>
    <row r="429" spans="1:2" x14ac:dyDescent="0.25">
      <c r="A429" s="63" t="s">
        <v>1139</v>
      </c>
      <c r="B429" t="s">
        <v>1046</v>
      </c>
    </row>
    <row r="430" spans="1:2" x14ac:dyDescent="0.25">
      <c r="A430" s="63" t="s">
        <v>1140</v>
      </c>
      <c r="B430" t="s">
        <v>1050</v>
      </c>
    </row>
  </sheetData>
  <autoFilter ref="A1:B369" xr:uid="{779322F1-F853-41A7-93EE-056399ED13F8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</vt:i4>
      </vt:variant>
    </vt:vector>
  </HeadingPairs>
  <TitlesOfParts>
    <vt:vector size="10" baseType="lpstr">
      <vt:lpstr>Pedidos de Venda</vt:lpstr>
      <vt:lpstr>Analise</vt:lpstr>
      <vt:lpstr>Necessidade</vt:lpstr>
      <vt:lpstr>Tiny</vt:lpstr>
      <vt:lpstr>Lista de Itens Bad</vt:lpstr>
      <vt:lpstr>PA</vt:lpstr>
      <vt:lpstr>Verificacao</vt:lpstr>
      <vt:lpstr>Cod</vt:lpstr>
      <vt:lpstr>'Pedidos de Venda'!Area_de_impressao</vt:lpstr>
      <vt:lpstr>'Pedidos de Venda'!Titulos_de_impressao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Pedidos de Venda</dc:title>
  <dc:creator>Olist Tiny ERP</dc:creator>
  <cp:lastModifiedBy>Gabriel Seleguini</cp:lastModifiedBy>
  <cp:lastPrinted>2025-02-11T19:15:55Z</cp:lastPrinted>
  <dcterms:created xsi:type="dcterms:W3CDTF">2024-08-08T12:01:08Z</dcterms:created>
  <dcterms:modified xsi:type="dcterms:W3CDTF">2025-04-22T19:00:24Z</dcterms:modified>
</cp:coreProperties>
</file>